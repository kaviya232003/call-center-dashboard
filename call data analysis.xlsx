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C:\Users\dhamo\Downloads\"/>
    </mc:Choice>
  </mc:AlternateContent>
  <xr:revisionPtr revIDLastSave="0" documentId="13_ncr:1_{9A8A62AC-24DF-4E52-BB4D-F1CE0E2D3DCA}" xr6:coauthVersionLast="47" xr6:coauthVersionMax="47" xr10:uidLastSave="{00000000-0000-0000-0000-000000000000}"/>
  <bookViews>
    <workbookView xWindow="-108" yWindow="-108" windowWidth="23256" windowHeight="12456" xr2:uid="{846F189C-EF9B-4862-9993-1E019EBB7FC8}"/>
  </bookViews>
  <sheets>
    <sheet name="FINAL DASHBOARD" sheetId="4" r:id="rId1"/>
    <sheet name="pivot tabel" sheetId="5" r:id="rId2"/>
    <sheet name="data" sheetId="2" r:id="rId3"/>
  </sheets>
  <definedNames>
    <definedName name="_xlcn.WorksheetConnection_Book1calls1" hidden="1">calls[]</definedName>
    <definedName name="_xlcn.WorksheetConnection_Book1customer1" hidden="1">customer[]</definedName>
    <definedName name="ExternalData_1" localSheetId="2" hidden="1">data!$A$1:$N$1001</definedName>
    <definedName name="Slicer_Representative">#N/A</definedName>
  </definedNames>
  <calcPr calcId="191029"/>
  <pivotCaches>
    <pivotCache cacheId="0" r:id="rId4"/>
    <pivotCache cacheId="1" r:id="rId5"/>
    <pivotCache cacheId="2" r:id="rId6"/>
    <pivotCache cacheId="3" r:id="rId7"/>
    <pivotCache cacheId="72" r:id="rId8"/>
    <pivotCache cacheId="75" r:id="rId9"/>
    <pivotCache cacheId="78" r:id="rId10"/>
    <pivotCache cacheId="81" r:id="rId11"/>
    <pivotCache cacheId="84" r:id="rId12"/>
  </pivotCaches>
  <extLst>
    <ext xmlns:x14="http://schemas.microsoft.com/office/spreadsheetml/2009/9/main" uri="{876F7934-8845-4945-9796-88D515C7AA90}">
      <x14:pivotCaches>
        <pivotCache cacheId="9"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 name="customer" connection="WorksheetConnection_Book1!customer"/>
          <x15:modelTable id="calls" name="calls" connection="WorksheetConnection_Book1!calls"/>
        </x15:modelTables>
        <x15:modelRelationships>
          <x15:modelRelationship fromTable="calls" fromColumn="Customer ID" toTable="customer" toColumn="Customer ID_1"/>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6" i="5" l="1"/>
  <c r="J48" i="5" s="1"/>
  <c r="F46" i="5" a="1"/>
  <c r="F46" i="5" s="1"/>
  <c r="N3" i="2" a="1"/>
  <c r="N3" i="2" s="1"/>
  <c r="N4" i="2" a="1"/>
  <c r="N4" i="2"/>
  <c r="N5" i="2" a="1"/>
  <c r="N5" i="2" s="1"/>
  <c r="N6" i="2" a="1"/>
  <c r="N6" i="2" s="1"/>
  <c r="N7" i="2" a="1"/>
  <c r="N7" i="2" s="1"/>
  <c r="N8" i="2" a="1"/>
  <c r="N8" i="2" s="1"/>
  <c r="N9" i="2" a="1"/>
  <c r="N9" i="2" s="1"/>
  <c r="N10" i="2" a="1"/>
  <c r="N10" i="2"/>
  <c r="N11" i="2" a="1"/>
  <c r="N11" i="2" s="1"/>
  <c r="N12" i="2" a="1"/>
  <c r="N12" i="2"/>
  <c r="N13" i="2" a="1"/>
  <c r="N13" i="2" s="1"/>
  <c r="N14" i="2" a="1"/>
  <c r="N14" i="2" s="1"/>
  <c r="N15" i="2" a="1"/>
  <c r="N15" i="2" s="1"/>
  <c r="N16" i="2" a="1"/>
  <c r="N16" i="2" s="1"/>
  <c r="N17" i="2" a="1"/>
  <c r="N17" i="2" s="1"/>
  <c r="N18" i="2" a="1"/>
  <c r="N18" i="2"/>
  <c r="N19" i="2" a="1"/>
  <c r="N19" i="2" s="1"/>
  <c r="N20" i="2" a="1"/>
  <c r="N20" i="2"/>
  <c r="N21" i="2" a="1"/>
  <c r="N21" i="2" s="1"/>
  <c r="N22" i="2" a="1"/>
  <c r="N22" i="2" s="1"/>
  <c r="N23" i="2" a="1"/>
  <c r="N23" i="2" s="1"/>
  <c r="N24" i="2" a="1"/>
  <c r="N24" i="2" s="1"/>
  <c r="N25" i="2" a="1"/>
  <c r="N25" i="2" s="1"/>
  <c r="N26" i="2" a="1"/>
  <c r="N26" i="2"/>
  <c r="N27" i="2" a="1"/>
  <c r="N27" i="2" s="1"/>
  <c r="N28" i="2" a="1"/>
  <c r="N28" i="2"/>
  <c r="N29" i="2" a="1"/>
  <c r="N29" i="2" s="1"/>
  <c r="N30" i="2" a="1"/>
  <c r="N30" i="2" s="1"/>
  <c r="N31" i="2" a="1"/>
  <c r="N31" i="2" s="1"/>
  <c r="N32" i="2" a="1"/>
  <c r="N32" i="2" s="1"/>
  <c r="N33" i="2" a="1"/>
  <c r="N33" i="2" s="1"/>
  <c r="N34" i="2" a="1"/>
  <c r="N34" i="2"/>
  <c r="N35" i="2" a="1"/>
  <c r="N35" i="2" s="1"/>
  <c r="N36" i="2" a="1"/>
  <c r="N36" i="2" s="1"/>
  <c r="N37" i="2" a="1"/>
  <c r="N37" i="2" s="1"/>
  <c r="N38" i="2" a="1"/>
  <c r="N38" i="2" s="1"/>
  <c r="N39" i="2" a="1"/>
  <c r="N39" i="2" s="1"/>
  <c r="N40" i="2" a="1"/>
  <c r="N40" i="2" s="1"/>
  <c r="N41" i="2" a="1"/>
  <c r="N41" i="2" s="1"/>
  <c r="N42" i="2" a="1"/>
  <c r="N42" i="2"/>
  <c r="N43" i="2" a="1"/>
  <c r="N43" i="2" s="1"/>
  <c r="N44" i="2" a="1"/>
  <c r="N44" i="2" s="1"/>
  <c r="N45" i="2" a="1"/>
  <c r="N45" i="2" s="1"/>
  <c r="N46" i="2" a="1"/>
  <c r="N46" i="2" s="1"/>
  <c r="N47" i="2" a="1"/>
  <c r="N47" i="2" s="1"/>
  <c r="N48" i="2" a="1"/>
  <c r="N48" i="2" s="1"/>
  <c r="N49" i="2" a="1"/>
  <c r="N49" i="2" s="1"/>
  <c r="N50" i="2" a="1"/>
  <c r="N50" i="2"/>
  <c r="N51" i="2" a="1"/>
  <c r="N51" i="2" s="1"/>
  <c r="N52" i="2" a="1"/>
  <c r="N52" i="2" s="1"/>
  <c r="N53" i="2" a="1"/>
  <c r="N53" i="2" s="1"/>
  <c r="N54" i="2" a="1"/>
  <c r="N54" i="2" s="1"/>
  <c r="N55" i="2" a="1"/>
  <c r="N55" i="2" s="1"/>
  <c r="N56" i="2" a="1"/>
  <c r="N56" i="2" s="1"/>
  <c r="N57" i="2" a="1"/>
  <c r="N57" i="2" s="1"/>
  <c r="N58" i="2" a="1"/>
  <c r="N58" i="2"/>
  <c r="N59" i="2" a="1"/>
  <c r="N59" i="2" s="1"/>
  <c r="N60" i="2" a="1"/>
  <c r="N60" i="2" s="1"/>
  <c r="N61" i="2" a="1"/>
  <c r="N61" i="2" s="1"/>
  <c r="N62" i="2" a="1"/>
  <c r="N62" i="2" s="1"/>
  <c r="N63" i="2" a="1"/>
  <c r="N63" i="2" s="1"/>
  <c r="N64" i="2" a="1"/>
  <c r="N64" i="2" s="1"/>
  <c r="N65" i="2" a="1"/>
  <c r="N65" i="2" s="1"/>
  <c r="N66" i="2" a="1"/>
  <c r="N66" i="2"/>
  <c r="N67" i="2" a="1"/>
  <c r="N67" i="2" s="1"/>
  <c r="N68" i="2" a="1"/>
  <c r="N68" i="2" s="1"/>
  <c r="N69" i="2" a="1"/>
  <c r="N69" i="2" s="1"/>
  <c r="N70" i="2" a="1"/>
  <c r="N70" i="2" s="1"/>
  <c r="N71" i="2" a="1"/>
  <c r="N71" i="2" s="1"/>
  <c r="N72" i="2" a="1"/>
  <c r="N72" i="2" s="1"/>
  <c r="N73" i="2" a="1"/>
  <c r="N73" i="2" s="1"/>
  <c r="N74" i="2" a="1"/>
  <c r="N74" i="2"/>
  <c r="N75" i="2" a="1"/>
  <c r="N75" i="2" s="1"/>
  <c r="N76" i="2" a="1"/>
  <c r="N76" i="2" s="1"/>
  <c r="N77" i="2" a="1"/>
  <c r="N77" i="2" s="1"/>
  <c r="N78" i="2" a="1"/>
  <c r="N78" i="2" s="1"/>
  <c r="N79" i="2" a="1"/>
  <c r="N79" i="2" s="1"/>
  <c r="N80" i="2" a="1"/>
  <c r="N80" i="2" s="1"/>
  <c r="N81" i="2" a="1"/>
  <c r="N81" i="2" s="1"/>
  <c r="N82" i="2" a="1"/>
  <c r="N82" i="2"/>
  <c r="N83" i="2" a="1"/>
  <c r="N83" i="2" s="1"/>
  <c r="N84" i="2" a="1"/>
  <c r="N84" i="2" s="1"/>
  <c r="N85" i="2" a="1"/>
  <c r="N85" i="2" s="1"/>
  <c r="N86" i="2" a="1"/>
  <c r="N86" i="2" s="1"/>
  <c r="N87" i="2" a="1"/>
  <c r="N87" i="2" s="1"/>
  <c r="N88" i="2" a="1"/>
  <c r="N88" i="2" s="1"/>
  <c r="N89" i="2" a="1"/>
  <c r="N89" i="2" s="1"/>
  <c r="N90" i="2" a="1"/>
  <c r="N90" i="2"/>
  <c r="N91" i="2" a="1"/>
  <c r="N91" i="2" s="1"/>
  <c r="N92" i="2" a="1"/>
  <c r="N92" i="2" s="1"/>
  <c r="N93" i="2" a="1"/>
  <c r="N93" i="2" s="1"/>
  <c r="N94" i="2" a="1"/>
  <c r="N94" i="2" s="1"/>
  <c r="N95" i="2" a="1"/>
  <c r="N95" i="2" s="1"/>
  <c r="N96" i="2" a="1"/>
  <c r="N96" i="2" s="1"/>
  <c r="N97" i="2" a="1"/>
  <c r="N97" i="2" s="1"/>
  <c r="N98" i="2" a="1"/>
  <c r="N98" i="2"/>
  <c r="N99" i="2" a="1"/>
  <c r="N99" i="2" s="1"/>
  <c r="N100" i="2" a="1"/>
  <c r="N100" i="2" s="1"/>
  <c r="N101" i="2" a="1"/>
  <c r="N101" i="2" s="1"/>
  <c r="N102" i="2" a="1"/>
  <c r="N102" i="2" s="1"/>
  <c r="N103" i="2" a="1"/>
  <c r="N103" i="2" s="1"/>
  <c r="N104" i="2" a="1"/>
  <c r="N104" i="2" s="1"/>
  <c r="N105" i="2" a="1"/>
  <c r="N105" i="2" s="1"/>
  <c r="N106" i="2" a="1"/>
  <c r="N106" i="2"/>
  <c r="N107" i="2" a="1"/>
  <c r="N107" i="2" s="1"/>
  <c r="N108" i="2" a="1"/>
  <c r="N108" i="2" s="1"/>
  <c r="N109" i="2" a="1"/>
  <c r="N109" i="2" s="1"/>
  <c r="N110" i="2" a="1"/>
  <c r="N110" i="2" s="1"/>
  <c r="N111" i="2" a="1"/>
  <c r="N111" i="2" s="1"/>
  <c r="N112" i="2" a="1"/>
  <c r="N112" i="2" s="1"/>
  <c r="N113" i="2" a="1"/>
  <c r="N113" i="2" s="1"/>
  <c r="N114" i="2" a="1"/>
  <c r="N114" i="2"/>
  <c r="N115" i="2" a="1"/>
  <c r="N115" i="2" s="1"/>
  <c r="N116" i="2" a="1"/>
  <c r="N116" i="2" s="1"/>
  <c r="N117" i="2" a="1"/>
  <c r="N117" i="2" s="1"/>
  <c r="N118" i="2" a="1"/>
  <c r="N118" i="2" s="1"/>
  <c r="N119" i="2" a="1"/>
  <c r="N119" i="2" s="1"/>
  <c r="N120" i="2" a="1"/>
  <c r="N120" i="2" s="1"/>
  <c r="N121" i="2" a="1"/>
  <c r="N121" i="2" s="1"/>
  <c r="N122" i="2" a="1"/>
  <c r="N122" i="2"/>
  <c r="N123" i="2" a="1"/>
  <c r="N123" i="2" s="1"/>
  <c r="N124" i="2" a="1"/>
  <c r="N124" i="2" s="1"/>
  <c r="N125" i="2" a="1"/>
  <c r="N125" i="2" s="1"/>
  <c r="N126" i="2" a="1"/>
  <c r="N126" i="2" s="1"/>
  <c r="N127" i="2" a="1"/>
  <c r="N127" i="2" s="1"/>
  <c r="N128" i="2" a="1"/>
  <c r="N128" i="2" s="1"/>
  <c r="N129" i="2" a="1"/>
  <c r="N129" i="2" s="1"/>
  <c r="N130" i="2" a="1"/>
  <c r="N130" i="2"/>
  <c r="N131" i="2" a="1"/>
  <c r="N131" i="2" s="1"/>
  <c r="N132" i="2" a="1"/>
  <c r="N132" i="2" s="1"/>
  <c r="N133" i="2" a="1"/>
  <c r="N133" i="2" s="1"/>
  <c r="N134" i="2" a="1"/>
  <c r="N134" i="2" s="1"/>
  <c r="N135" i="2" a="1"/>
  <c r="N135" i="2" s="1"/>
  <c r="N136" i="2" a="1"/>
  <c r="N136" i="2" s="1"/>
  <c r="N137" i="2" a="1"/>
  <c r="N137" i="2" s="1"/>
  <c r="N138" i="2" a="1"/>
  <c r="N138" i="2"/>
  <c r="N139" i="2" a="1"/>
  <c r="N139" i="2" s="1"/>
  <c r="N140" i="2" a="1"/>
  <c r="N140" i="2" s="1"/>
  <c r="N141" i="2" a="1"/>
  <c r="N141" i="2" s="1"/>
  <c r="N142" i="2" a="1"/>
  <c r="N142" i="2" s="1"/>
  <c r="N143" i="2" a="1"/>
  <c r="N143" i="2" s="1"/>
  <c r="N144" i="2" a="1"/>
  <c r="N144" i="2" s="1"/>
  <c r="N145" i="2" a="1"/>
  <c r="N145" i="2" s="1"/>
  <c r="N146" i="2" a="1"/>
  <c r="N146" i="2"/>
  <c r="N147" i="2" a="1"/>
  <c r="N147" i="2" s="1"/>
  <c r="N148" i="2" a="1"/>
  <c r="N148" i="2" s="1"/>
  <c r="N149" i="2" a="1"/>
  <c r="N149" i="2" s="1"/>
  <c r="N150" i="2" a="1"/>
  <c r="N150" i="2" s="1"/>
  <c r="N151" i="2" a="1"/>
  <c r="N151" i="2" s="1"/>
  <c r="N152" i="2" a="1"/>
  <c r="N152" i="2" s="1"/>
  <c r="N153" i="2" a="1"/>
  <c r="N153" i="2" s="1"/>
  <c r="N154" i="2" a="1"/>
  <c r="N154" i="2"/>
  <c r="N155" i="2" a="1"/>
  <c r="N155" i="2" s="1"/>
  <c r="N156" i="2" a="1"/>
  <c r="N156" i="2" s="1"/>
  <c r="N157" i="2" a="1"/>
  <c r="N157" i="2" s="1"/>
  <c r="N158" i="2" a="1"/>
  <c r="N158" i="2"/>
  <c r="N159" i="2" a="1"/>
  <c r="N159" i="2" s="1"/>
  <c r="N160" i="2" a="1"/>
  <c r="N160" i="2" s="1"/>
  <c r="N161" i="2" a="1"/>
  <c r="N161" i="2" s="1"/>
  <c r="N162" i="2" a="1"/>
  <c r="N162" i="2"/>
  <c r="N163" i="2" a="1"/>
  <c r="N163" i="2" s="1"/>
  <c r="N164" i="2" a="1"/>
  <c r="N164" i="2" s="1"/>
  <c r="N165" i="2" a="1"/>
  <c r="N165" i="2" s="1"/>
  <c r="N166" i="2" a="1"/>
  <c r="N166" i="2"/>
  <c r="N167" i="2" a="1"/>
  <c r="N167" i="2" s="1"/>
  <c r="N168" i="2" a="1"/>
  <c r="N168" i="2" s="1"/>
  <c r="N169" i="2" a="1"/>
  <c r="N169" i="2" s="1"/>
  <c r="N170" i="2" a="1"/>
  <c r="N170" i="2"/>
  <c r="N171" i="2" a="1"/>
  <c r="N171" i="2" s="1"/>
  <c r="N172" i="2" a="1"/>
  <c r="N172" i="2" s="1"/>
  <c r="N173" i="2" a="1"/>
  <c r="N173" i="2"/>
  <c r="N174" i="2" a="1"/>
  <c r="N174" i="2" s="1"/>
  <c r="N175" i="2" a="1"/>
  <c r="N175" i="2"/>
  <c r="N176" i="2" a="1"/>
  <c r="N176" i="2" s="1"/>
  <c r="N177" i="2" a="1"/>
  <c r="N177" i="2"/>
  <c r="N178" i="2" a="1"/>
  <c r="N178" i="2" s="1"/>
  <c r="N179" i="2" a="1"/>
  <c r="N179" i="2" s="1"/>
  <c r="N180" i="2" a="1"/>
  <c r="N180" i="2" s="1"/>
  <c r="N181" i="2" a="1"/>
  <c r="N181" i="2"/>
  <c r="N182" i="2" a="1"/>
  <c r="N182" i="2" s="1"/>
  <c r="N183" i="2" a="1"/>
  <c r="N183" i="2"/>
  <c r="N184" i="2" a="1"/>
  <c r="N184" i="2" s="1"/>
  <c r="N185" i="2" a="1"/>
  <c r="N185" i="2"/>
  <c r="N186" i="2" a="1"/>
  <c r="N186" i="2" s="1"/>
  <c r="N187" i="2" a="1"/>
  <c r="N187" i="2" s="1"/>
  <c r="N188" i="2" a="1"/>
  <c r="N188" i="2" s="1"/>
  <c r="N189" i="2" a="1"/>
  <c r="N189" i="2" s="1"/>
  <c r="N190" i="2" a="1"/>
  <c r="N190" i="2" s="1"/>
  <c r="N191" i="2" a="1"/>
  <c r="N191" i="2"/>
  <c r="N192" i="2" a="1"/>
  <c r="N192" i="2" s="1"/>
  <c r="N193" i="2" a="1"/>
  <c r="N193" i="2"/>
  <c r="N194" i="2" a="1"/>
  <c r="N194" i="2" s="1"/>
  <c r="N195" i="2" a="1"/>
  <c r="N195" i="2" s="1"/>
  <c r="N196" i="2" a="1"/>
  <c r="N196" i="2" s="1"/>
  <c r="N197" i="2" a="1"/>
  <c r="N197" i="2"/>
  <c r="N198" i="2" a="1"/>
  <c r="N198" i="2" s="1"/>
  <c r="N199" i="2" a="1"/>
  <c r="N199" i="2"/>
  <c r="N200" i="2" a="1"/>
  <c r="N200" i="2" s="1"/>
  <c r="N201" i="2" a="1"/>
  <c r="N201" i="2"/>
  <c r="N202" i="2" a="1"/>
  <c r="N202" i="2" s="1"/>
  <c r="N203" i="2" a="1"/>
  <c r="N203" i="2" s="1"/>
  <c r="N204" i="2" a="1"/>
  <c r="N204" i="2" s="1"/>
  <c r="N205" i="2" a="1"/>
  <c r="N205" i="2"/>
  <c r="N206" i="2" a="1"/>
  <c r="N206" i="2" s="1"/>
  <c r="N207" i="2" a="1"/>
  <c r="N207" i="2"/>
  <c r="N208" i="2" a="1"/>
  <c r="N208" i="2" s="1"/>
  <c r="N209" i="2" a="1"/>
  <c r="N209" i="2"/>
  <c r="N210" i="2" a="1"/>
  <c r="N210" i="2" s="1"/>
  <c r="N211" i="2" a="1"/>
  <c r="N211" i="2" s="1"/>
  <c r="N212" i="2" a="1"/>
  <c r="N212" i="2" s="1"/>
  <c r="N213" i="2" a="1"/>
  <c r="N213" i="2"/>
  <c r="N214" i="2" a="1"/>
  <c r="N214" i="2" s="1"/>
  <c r="N215" i="2" a="1"/>
  <c r="N215" i="2"/>
  <c r="N216" i="2" a="1"/>
  <c r="N216" i="2" s="1"/>
  <c r="N217" i="2" a="1"/>
  <c r="N217" i="2"/>
  <c r="N218" i="2" a="1"/>
  <c r="N218" i="2" s="1"/>
  <c r="N219" i="2" a="1"/>
  <c r="N219" i="2" s="1"/>
  <c r="N220" i="2" a="1"/>
  <c r="N220" i="2" s="1"/>
  <c r="N221" i="2" a="1"/>
  <c r="N221" i="2" s="1"/>
  <c r="N222" i="2" a="1"/>
  <c r="N222" i="2" s="1"/>
  <c r="N223" i="2" a="1"/>
  <c r="N223" i="2"/>
  <c r="N224" i="2" a="1"/>
  <c r="N224" i="2" s="1"/>
  <c r="N225" i="2" a="1"/>
  <c r="N225" i="2"/>
  <c r="N226" i="2" a="1"/>
  <c r="N226" i="2" s="1"/>
  <c r="N227" i="2" a="1"/>
  <c r="N227" i="2" s="1"/>
  <c r="N228" i="2" a="1"/>
  <c r="N228" i="2" s="1"/>
  <c r="N229" i="2" a="1"/>
  <c r="N229" i="2"/>
  <c r="N230" i="2" a="1"/>
  <c r="N230" i="2" s="1"/>
  <c r="N231" i="2" a="1"/>
  <c r="N231" i="2"/>
  <c r="N232" i="2" a="1"/>
  <c r="N232" i="2" s="1"/>
  <c r="N233" i="2" a="1"/>
  <c r="N233" i="2"/>
  <c r="N234" i="2" a="1"/>
  <c r="N234" i="2" s="1"/>
  <c r="N235" i="2" a="1"/>
  <c r="N235" i="2" s="1"/>
  <c r="N236" i="2" a="1"/>
  <c r="N236" i="2" s="1"/>
  <c r="N237" i="2" a="1"/>
  <c r="N237" i="2"/>
  <c r="N238" i="2" a="1"/>
  <c r="N238" i="2" s="1"/>
  <c r="N239" i="2" a="1"/>
  <c r="N239" i="2"/>
  <c r="N240" i="2" a="1"/>
  <c r="N240" i="2" s="1"/>
  <c r="N241" i="2" a="1"/>
  <c r="N241" i="2"/>
  <c r="N242" i="2" a="1"/>
  <c r="N242" i="2" s="1"/>
  <c r="N243" i="2" a="1"/>
  <c r="N243" i="2" s="1"/>
  <c r="N244" i="2" a="1"/>
  <c r="N244" i="2" s="1"/>
  <c r="N245" i="2" a="1"/>
  <c r="N245" i="2"/>
  <c r="N246" i="2" a="1"/>
  <c r="N246" i="2" s="1"/>
  <c r="N247" i="2" a="1"/>
  <c r="N247" i="2"/>
  <c r="N248" i="2" a="1"/>
  <c r="N248" i="2" s="1"/>
  <c r="N249" i="2" a="1"/>
  <c r="N249" i="2"/>
  <c r="N250" i="2" a="1"/>
  <c r="N250" i="2" s="1"/>
  <c r="N251" i="2" a="1"/>
  <c r="N251" i="2" s="1"/>
  <c r="N252" i="2" a="1"/>
  <c r="N252" i="2" s="1"/>
  <c r="N253" i="2" a="1"/>
  <c r="N253" i="2" s="1"/>
  <c r="N254" i="2" a="1"/>
  <c r="N254" i="2" s="1"/>
  <c r="N255" i="2" a="1"/>
  <c r="N255" i="2"/>
  <c r="N256" i="2" a="1"/>
  <c r="N256" i="2" s="1"/>
  <c r="N257" i="2" a="1"/>
  <c r="N257" i="2"/>
  <c r="N258" i="2" a="1"/>
  <c r="N258" i="2" s="1"/>
  <c r="N259" i="2" a="1"/>
  <c r="N259" i="2" s="1"/>
  <c r="N260" i="2" a="1"/>
  <c r="N260" i="2" s="1"/>
  <c r="N261" i="2" a="1"/>
  <c r="N261" i="2"/>
  <c r="N262" i="2" a="1"/>
  <c r="N262" i="2" s="1"/>
  <c r="N263" i="2" a="1"/>
  <c r="N263" i="2"/>
  <c r="N264" i="2" a="1"/>
  <c r="N264" i="2" s="1"/>
  <c r="N265" i="2" a="1"/>
  <c r="N265" i="2"/>
  <c r="N266" i="2" a="1"/>
  <c r="N266" i="2" s="1"/>
  <c r="N267" i="2" a="1"/>
  <c r="N267" i="2" s="1"/>
  <c r="N268" i="2" a="1"/>
  <c r="N268" i="2" s="1"/>
  <c r="N269" i="2" a="1"/>
  <c r="N269" i="2"/>
  <c r="N270" i="2" a="1"/>
  <c r="N270" i="2" s="1"/>
  <c r="N271" i="2" a="1"/>
  <c r="N271" i="2"/>
  <c r="N272" i="2" a="1"/>
  <c r="N272" i="2" s="1"/>
  <c r="N273" i="2" a="1"/>
  <c r="N273" i="2"/>
  <c r="N274" i="2" a="1"/>
  <c r="N274" i="2" s="1"/>
  <c r="N275" i="2" a="1"/>
  <c r="N275" i="2" s="1"/>
  <c r="N276" i="2" a="1"/>
  <c r="N276" i="2" s="1"/>
  <c r="N277" i="2" a="1"/>
  <c r="N277" i="2"/>
  <c r="N278" i="2" a="1"/>
  <c r="N278" i="2" s="1"/>
  <c r="N279" i="2" a="1"/>
  <c r="N279" i="2"/>
  <c r="N280" i="2" a="1"/>
  <c r="N280" i="2" s="1"/>
  <c r="N281" i="2" a="1"/>
  <c r="N281" i="2"/>
  <c r="N282" i="2" a="1"/>
  <c r="N282" i="2" s="1"/>
  <c r="N283" i="2" a="1"/>
  <c r="N283" i="2" s="1"/>
  <c r="N284" i="2" a="1"/>
  <c r="N284" i="2" s="1"/>
  <c r="N285" i="2" a="1"/>
  <c r="N285" i="2" s="1"/>
  <c r="N286" i="2" a="1"/>
  <c r="N286" i="2" s="1"/>
  <c r="N287" i="2" a="1"/>
  <c r="N287" i="2"/>
  <c r="N288" i="2" a="1"/>
  <c r="N288" i="2" s="1"/>
  <c r="N289" i="2" a="1"/>
  <c r="N289" i="2"/>
  <c r="N290" i="2" a="1"/>
  <c r="N290" i="2" s="1"/>
  <c r="N291" i="2" a="1"/>
  <c r="N291" i="2" s="1"/>
  <c r="N292" i="2" a="1"/>
  <c r="N292" i="2" s="1"/>
  <c r="N293" i="2" a="1"/>
  <c r="N293" i="2"/>
  <c r="N294" i="2" a="1"/>
  <c r="N294" i="2" s="1"/>
  <c r="N295" i="2" a="1"/>
  <c r="N295" i="2"/>
  <c r="N296" i="2" a="1"/>
  <c r="N296" i="2" s="1"/>
  <c r="N297" i="2" a="1"/>
  <c r="N297" i="2"/>
  <c r="N298" i="2" a="1"/>
  <c r="N298" i="2" s="1"/>
  <c r="N299" i="2" a="1"/>
  <c r="N299" i="2" s="1"/>
  <c r="N300" i="2" a="1"/>
  <c r="N300" i="2" s="1"/>
  <c r="N301" i="2" a="1"/>
  <c r="N301" i="2"/>
  <c r="N302" i="2" a="1"/>
  <c r="N302" i="2" s="1"/>
  <c r="N303" i="2" a="1"/>
  <c r="N303" i="2"/>
  <c r="N304" i="2" a="1"/>
  <c r="N304" i="2" s="1"/>
  <c r="N305" i="2" a="1"/>
  <c r="N305" i="2"/>
  <c r="N306" i="2" a="1"/>
  <c r="N306" i="2" s="1"/>
  <c r="N307" i="2" a="1"/>
  <c r="N307" i="2" s="1"/>
  <c r="N308" i="2" a="1"/>
  <c r="N308" i="2"/>
  <c r="N309" i="2" a="1"/>
  <c r="N309" i="2" s="1"/>
  <c r="N310" i="2" a="1"/>
  <c r="N310" i="2"/>
  <c r="N311" i="2" a="1"/>
  <c r="N311" i="2" s="1"/>
  <c r="N312" i="2" a="1"/>
  <c r="N312" i="2"/>
  <c r="N313" i="2" a="1"/>
  <c r="N313" i="2" s="1"/>
  <c r="N314" i="2" a="1"/>
  <c r="N314" i="2"/>
  <c r="N315" i="2" a="1"/>
  <c r="N315" i="2" s="1"/>
  <c r="N316" i="2" a="1"/>
  <c r="N316" i="2" s="1"/>
  <c r="N317" i="2" a="1"/>
  <c r="N317" i="2" s="1"/>
  <c r="N318" i="2" a="1"/>
  <c r="N318" i="2"/>
  <c r="N319" i="2" a="1"/>
  <c r="N319" i="2" s="1"/>
  <c r="N320" i="2" a="1"/>
  <c r="N320" i="2"/>
  <c r="N321" i="2" a="1"/>
  <c r="N321" i="2" s="1"/>
  <c r="N322" i="2" a="1"/>
  <c r="N322" i="2"/>
  <c r="N323" i="2" a="1"/>
  <c r="N323" i="2" s="1"/>
  <c r="N324" i="2" a="1"/>
  <c r="N324" i="2" s="1"/>
  <c r="N325" i="2" a="1"/>
  <c r="N325" i="2" s="1"/>
  <c r="N326" i="2" a="1"/>
  <c r="N326" i="2"/>
  <c r="N327" i="2" a="1"/>
  <c r="N327" i="2" s="1"/>
  <c r="N328" i="2" a="1"/>
  <c r="N328" i="2"/>
  <c r="N329" i="2" a="1"/>
  <c r="N329" i="2" s="1"/>
  <c r="N330" i="2" a="1"/>
  <c r="N330" i="2"/>
  <c r="N331" i="2" a="1"/>
  <c r="N331" i="2" s="1"/>
  <c r="N332" i="2" a="1"/>
  <c r="N332" i="2" s="1"/>
  <c r="N333" i="2" a="1"/>
  <c r="N333" i="2" s="1"/>
  <c r="N334" i="2" a="1"/>
  <c r="N334" i="2"/>
  <c r="N335" i="2" a="1"/>
  <c r="N335" i="2" s="1"/>
  <c r="N336" i="2" a="1"/>
  <c r="N336" i="2"/>
  <c r="N337" i="2" a="1"/>
  <c r="N337" i="2" s="1"/>
  <c r="N338" i="2" a="1"/>
  <c r="N338" i="2"/>
  <c r="N339" i="2" a="1"/>
  <c r="N339" i="2" s="1"/>
  <c r="N340" i="2" a="1"/>
  <c r="N340" i="2" s="1"/>
  <c r="N341" i="2" a="1"/>
  <c r="N341" i="2" s="1"/>
  <c r="N342" i="2" a="1"/>
  <c r="N342" i="2"/>
  <c r="N343" i="2" a="1"/>
  <c r="N343" i="2" s="1"/>
  <c r="N344" i="2" a="1"/>
  <c r="N344" i="2"/>
  <c r="N345" i="2" a="1"/>
  <c r="N345" i="2" s="1"/>
  <c r="N346" i="2" a="1"/>
  <c r="N346" i="2"/>
  <c r="N347" i="2" a="1"/>
  <c r="N347" i="2" s="1"/>
  <c r="N348" i="2" a="1"/>
  <c r="N348" i="2" s="1"/>
  <c r="N349" i="2" a="1"/>
  <c r="N349" i="2" s="1"/>
  <c r="N350" i="2" a="1"/>
  <c r="N350" i="2"/>
  <c r="N351" i="2" a="1"/>
  <c r="N351" i="2" s="1"/>
  <c r="N352" i="2" a="1"/>
  <c r="N352" i="2"/>
  <c r="N353" i="2" a="1"/>
  <c r="N353" i="2" s="1"/>
  <c r="N354" i="2" a="1"/>
  <c r="N354" i="2"/>
  <c r="N355" i="2" a="1"/>
  <c r="N355" i="2" s="1"/>
  <c r="N356" i="2" a="1"/>
  <c r="N356" i="2" s="1"/>
  <c r="N357" i="2" a="1"/>
  <c r="N357" i="2" s="1"/>
  <c r="N358" i="2" a="1"/>
  <c r="N358" i="2" s="1"/>
  <c r="N359" i="2" a="1"/>
  <c r="N359" i="2" s="1"/>
  <c r="N360" i="2" a="1"/>
  <c r="N360" i="2"/>
  <c r="N361" i="2" a="1"/>
  <c r="N361" i="2" s="1"/>
  <c r="N362" i="2" a="1"/>
  <c r="N362" i="2"/>
  <c r="N363" i="2" a="1"/>
  <c r="N363" i="2" s="1"/>
  <c r="N364" i="2" a="1"/>
  <c r="N364" i="2" s="1"/>
  <c r="N365" i="2" a="1"/>
  <c r="N365" i="2" s="1"/>
  <c r="N366" i="2" a="1"/>
  <c r="N366" i="2" s="1"/>
  <c r="N367" i="2" a="1"/>
  <c r="N367" i="2" s="1"/>
  <c r="N368" i="2" a="1"/>
  <c r="N368" i="2"/>
  <c r="N369" i="2" a="1"/>
  <c r="N369" i="2" s="1"/>
  <c r="N370" i="2" a="1"/>
  <c r="N370" i="2"/>
  <c r="N371" i="2" a="1"/>
  <c r="N371" i="2" s="1"/>
  <c r="N372" i="2" a="1"/>
  <c r="N372" i="2" s="1"/>
  <c r="N373" i="2" a="1"/>
  <c r="N373" i="2" s="1"/>
  <c r="N374" i="2" a="1"/>
  <c r="N374" i="2"/>
  <c r="N375" i="2" a="1"/>
  <c r="N375" i="2" s="1"/>
  <c r="N376" i="2" a="1"/>
  <c r="N376" i="2"/>
  <c r="N377" i="2" a="1"/>
  <c r="N377" i="2" s="1"/>
  <c r="N378" i="2" a="1"/>
  <c r="N378" i="2"/>
  <c r="N379" i="2" a="1"/>
  <c r="N379" i="2" s="1"/>
  <c r="N380" i="2" a="1"/>
  <c r="N380" i="2" s="1"/>
  <c r="N381" i="2" a="1"/>
  <c r="N381" i="2" s="1"/>
  <c r="N382" i="2" a="1"/>
  <c r="N382" i="2"/>
  <c r="N383" i="2" a="1"/>
  <c r="N383" i="2" s="1"/>
  <c r="N384" i="2" a="1"/>
  <c r="N384" i="2"/>
  <c r="N385" i="2" a="1"/>
  <c r="N385" i="2" s="1"/>
  <c r="N386" i="2" a="1"/>
  <c r="N386" i="2"/>
  <c r="N387" i="2" a="1"/>
  <c r="N387" i="2" s="1"/>
  <c r="N388" i="2" a="1"/>
  <c r="N388" i="2" s="1"/>
  <c r="N389" i="2" a="1"/>
  <c r="N389" i="2" s="1"/>
  <c r="N390" i="2" a="1"/>
  <c r="N390" i="2" s="1"/>
  <c r="N391" i="2" a="1"/>
  <c r="N391" i="2" s="1"/>
  <c r="N392" i="2" a="1"/>
  <c r="N392" i="2"/>
  <c r="N393" i="2" a="1"/>
  <c r="N393" i="2" s="1"/>
  <c r="N394" i="2" a="1"/>
  <c r="N394" i="2"/>
  <c r="N395" i="2" a="1"/>
  <c r="N395" i="2" s="1"/>
  <c r="N396" i="2" a="1"/>
  <c r="N396" i="2" s="1"/>
  <c r="N397" i="2" a="1"/>
  <c r="N397" i="2" s="1"/>
  <c r="N398" i="2" a="1"/>
  <c r="N398" i="2" s="1"/>
  <c r="N399" i="2" a="1"/>
  <c r="N399" i="2" s="1"/>
  <c r="N400" i="2" a="1"/>
  <c r="N400" i="2"/>
  <c r="N401" i="2" a="1"/>
  <c r="N401" i="2" s="1"/>
  <c r="N402" i="2" a="1"/>
  <c r="N402" i="2"/>
  <c r="N403" i="2" a="1"/>
  <c r="N403" i="2" s="1"/>
  <c r="N404" i="2" a="1"/>
  <c r="N404" i="2" s="1"/>
  <c r="N405" i="2" a="1"/>
  <c r="N405" i="2" s="1"/>
  <c r="N406" i="2" a="1"/>
  <c r="N406" i="2"/>
  <c r="N407" i="2" a="1"/>
  <c r="N407" i="2" s="1"/>
  <c r="N408" i="2" a="1"/>
  <c r="N408" i="2"/>
  <c r="N409" i="2" a="1"/>
  <c r="N409" i="2" s="1"/>
  <c r="N410" i="2" a="1"/>
  <c r="N410" i="2"/>
  <c r="N411" i="2" a="1"/>
  <c r="N411" i="2" s="1"/>
  <c r="N412" i="2" a="1"/>
  <c r="N412" i="2" s="1"/>
  <c r="N413" i="2" a="1"/>
  <c r="N413" i="2" s="1"/>
  <c r="N414" i="2" a="1"/>
  <c r="N414" i="2"/>
  <c r="N415" i="2" a="1"/>
  <c r="N415" i="2" s="1"/>
  <c r="N416" i="2" a="1"/>
  <c r="N416" i="2"/>
  <c r="N417" i="2" a="1"/>
  <c r="N417" i="2" s="1"/>
  <c r="N418" i="2" a="1"/>
  <c r="N418" i="2"/>
  <c r="N419" i="2" a="1"/>
  <c r="N419" i="2" s="1"/>
  <c r="N420" i="2" a="1"/>
  <c r="N420" i="2" s="1"/>
  <c r="N421" i="2" a="1"/>
  <c r="N421" i="2" s="1"/>
  <c r="N422" i="2" a="1"/>
  <c r="N422" i="2" s="1"/>
  <c r="N423" i="2" a="1"/>
  <c r="N423" i="2" s="1"/>
  <c r="N424" i="2" a="1"/>
  <c r="N424" i="2"/>
  <c r="N425" i="2" a="1"/>
  <c r="N425" i="2" s="1"/>
  <c r="N426" i="2" a="1"/>
  <c r="N426" i="2" s="1"/>
  <c r="N427" i="2" a="1"/>
  <c r="N427" i="2" s="1"/>
  <c r="N428" i="2" a="1"/>
  <c r="N428" i="2" s="1"/>
  <c r="N429" i="2" a="1"/>
  <c r="N429" i="2" s="1"/>
  <c r="N430" i="2" a="1"/>
  <c r="N430" i="2"/>
  <c r="N431" i="2" a="1"/>
  <c r="N431" i="2" s="1"/>
  <c r="N432" i="2" a="1"/>
  <c r="N432" i="2"/>
  <c r="N433" i="2" a="1"/>
  <c r="N433" i="2" s="1"/>
  <c r="N434" i="2" a="1"/>
  <c r="N434" i="2" s="1"/>
  <c r="N435" i="2" a="1"/>
  <c r="N435" i="2" s="1"/>
  <c r="N436" i="2" a="1"/>
  <c r="N436" i="2" s="1"/>
  <c r="N437" i="2" a="1"/>
  <c r="N437" i="2" s="1"/>
  <c r="N438" i="2" a="1"/>
  <c r="N438" i="2" s="1"/>
  <c r="N439" i="2" a="1"/>
  <c r="N439" i="2" s="1"/>
  <c r="N440" i="2" a="1"/>
  <c r="N440" i="2"/>
  <c r="N441" i="2" a="1"/>
  <c r="N441" i="2" s="1"/>
  <c r="N442" i="2" a="1"/>
  <c r="N442" i="2" s="1"/>
  <c r="N443" i="2" a="1"/>
  <c r="N443" i="2" s="1"/>
  <c r="N444" i="2" a="1"/>
  <c r="N444" i="2" s="1"/>
  <c r="N445" i="2" a="1"/>
  <c r="N445" i="2"/>
  <c r="N446" i="2" a="1"/>
  <c r="N446" i="2" s="1"/>
  <c r="N447" i="2" a="1"/>
  <c r="N447" i="2"/>
  <c r="N448" i="2" a="1"/>
  <c r="N448" i="2" s="1"/>
  <c r="N449" i="2" a="1"/>
  <c r="N449" i="2" s="1"/>
  <c r="N450" i="2" a="1"/>
  <c r="N450" i="2" s="1"/>
  <c r="N451" i="2" a="1"/>
  <c r="N451" i="2" s="1"/>
  <c r="N452" i="2" a="1"/>
  <c r="N452" i="2" s="1"/>
  <c r="N453" i="2" a="1"/>
  <c r="N453" i="2"/>
  <c r="N454" i="2" a="1"/>
  <c r="N454" i="2" s="1"/>
  <c r="N455" i="2" a="1"/>
  <c r="N455" i="2"/>
  <c r="N456" i="2" a="1"/>
  <c r="N456" i="2" s="1"/>
  <c r="N457" i="2" a="1"/>
  <c r="N457" i="2" s="1"/>
  <c r="N458" i="2" a="1"/>
  <c r="N458" i="2" s="1"/>
  <c r="N459" i="2" a="1"/>
  <c r="N459" i="2" s="1"/>
  <c r="N460" i="2" a="1"/>
  <c r="N460" i="2" s="1"/>
  <c r="N461" i="2" a="1"/>
  <c r="N461" i="2"/>
  <c r="N462" i="2" a="1"/>
  <c r="N462" i="2" s="1"/>
  <c r="N463" i="2" a="1"/>
  <c r="N463" i="2"/>
  <c r="N464" i="2" a="1"/>
  <c r="N464" i="2" s="1"/>
  <c r="N465" i="2" a="1"/>
  <c r="N465" i="2" s="1"/>
  <c r="N466" i="2" a="1"/>
  <c r="N466" i="2" s="1"/>
  <c r="N467" i="2" a="1"/>
  <c r="N467" i="2" s="1"/>
  <c r="N468" i="2" a="1"/>
  <c r="N468" i="2" s="1"/>
  <c r="N469" i="2" a="1"/>
  <c r="N469" i="2"/>
  <c r="N470" i="2" a="1"/>
  <c r="N470" i="2" s="1"/>
  <c r="N471" i="2" a="1"/>
  <c r="N471" i="2"/>
  <c r="N472" i="2" a="1"/>
  <c r="N472" i="2" s="1"/>
  <c r="N473" i="2" a="1"/>
  <c r="N473" i="2" s="1"/>
  <c r="N474" i="2" a="1"/>
  <c r="N474" i="2" s="1"/>
  <c r="N475" i="2" a="1"/>
  <c r="N475" i="2" s="1"/>
  <c r="N476" i="2" a="1"/>
  <c r="N476" i="2" s="1"/>
  <c r="N477" i="2" a="1"/>
  <c r="N477" i="2"/>
  <c r="N478" i="2" a="1"/>
  <c r="N478" i="2" s="1"/>
  <c r="N479" i="2" a="1"/>
  <c r="N479" i="2"/>
  <c r="N480" i="2" a="1"/>
  <c r="N480" i="2" s="1"/>
  <c r="N481" i="2" a="1"/>
  <c r="N481" i="2" s="1"/>
  <c r="N482" i="2" a="1"/>
  <c r="N482" i="2" s="1"/>
  <c r="N483" i="2" a="1"/>
  <c r="N483" i="2" s="1"/>
  <c r="N484" i="2" a="1"/>
  <c r="N484" i="2" s="1"/>
  <c r="N485" i="2" a="1"/>
  <c r="N485" i="2"/>
  <c r="N486" i="2" a="1"/>
  <c r="N486" i="2" s="1"/>
  <c r="N487" i="2" a="1"/>
  <c r="N487" i="2"/>
  <c r="N488" i="2" a="1"/>
  <c r="N488" i="2" s="1"/>
  <c r="N489" i="2" a="1"/>
  <c r="N489" i="2" s="1"/>
  <c r="N490" i="2" a="1"/>
  <c r="N490" i="2" s="1"/>
  <c r="N491" i="2" a="1"/>
  <c r="N491" i="2" s="1"/>
  <c r="N492" i="2" a="1"/>
  <c r="N492" i="2" s="1"/>
  <c r="N493" i="2" a="1"/>
  <c r="N493" i="2"/>
  <c r="N494" i="2" a="1"/>
  <c r="N494" i="2" s="1"/>
  <c r="N495" i="2" a="1"/>
  <c r="N495" i="2"/>
  <c r="N496" i="2" a="1"/>
  <c r="N496" i="2" s="1"/>
  <c r="N497" i="2" a="1"/>
  <c r="N497" i="2" s="1"/>
  <c r="N498" i="2" a="1"/>
  <c r="N498" i="2" s="1"/>
  <c r="N499" i="2" a="1"/>
  <c r="N499" i="2" s="1"/>
  <c r="N500" i="2" a="1"/>
  <c r="N500" i="2" s="1"/>
  <c r="N501" i="2" a="1"/>
  <c r="N501" i="2"/>
  <c r="N502" i="2" a="1"/>
  <c r="N502" i="2" s="1"/>
  <c r="N503" i="2" a="1"/>
  <c r="N503" i="2"/>
  <c r="N504" i="2" a="1"/>
  <c r="N504" i="2" s="1"/>
  <c r="N505" i="2" a="1"/>
  <c r="N505" i="2" s="1"/>
  <c r="N506" i="2" a="1"/>
  <c r="N506" i="2" s="1"/>
  <c r="N507" i="2" a="1"/>
  <c r="N507" i="2" s="1"/>
  <c r="N508" i="2" a="1"/>
  <c r="N508" i="2" s="1"/>
  <c r="N509" i="2" a="1"/>
  <c r="N509" i="2"/>
  <c r="N510" i="2" a="1"/>
  <c r="N510" i="2" s="1"/>
  <c r="N511" i="2" a="1"/>
  <c r="N511" i="2"/>
  <c r="N512" i="2" a="1"/>
  <c r="N512" i="2" s="1"/>
  <c r="N513" i="2" a="1"/>
  <c r="N513" i="2" s="1"/>
  <c r="N514" i="2" a="1"/>
  <c r="N514" i="2" s="1"/>
  <c r="N515" i="2" a="1"/>
  <c r="N515" i="2" s="1"/>
  <c r="N516" i="2" a="1"/>
  <c r="N516" i="2" s="1"/>
  <c r="N517" i="2" a="1"/>
  <c r="N517" i="2"/>
  <c r="N518" i="2" a="1"/>
  <c r="N518" i="2" s="1"/>
  <c r="N519" i="2" a="1"/>
  <c r="N519" i="2"/>
  <c r="N520" i="2" a="1"/>
  <c r="N520" i="2" s="1"/>
  <c r="N521" i="2" a="1"/>
  <c r="N521" i="2" s="1"/>
  <c r="N522" i="2" a="1"/>
  <c r="N522" i="2" s="1"/>
  <c r="N523" i="2" a="1"/>
  <c r="N523" i="2" s="1"/>
  <c r="N524" i="2" a="1"/>
  <c r="N524" i="2" s="1"/>
  <c r="N525" i="2" a="1"/>
  <c r="N525" i="2"/>
  <c r="N526" i="2" a="1"/>
  <c r="N526" i="2" s="1"/>
  <c r="N527" i="2" a="1"/>
  <c r="N527" i="2"/>
  <c r="N528" i="2" a="1"/>
  <c r="N528" i="2" s="1"/>
  <c r="N529" i="2" a="1"/>
  <c r="N529" i="2" s="1"/>
  <c r="N530" i="2" a="1"/>
  <c r="N530" i="2" s="1"/>
  <c r="N531" i="2" a="1"/>
  <c r="N531" i="2" s="1"/>
  <c r="N532" i="2" a="1"/>
  <c r="N532" i="2" s="1"/>
  <c r="N533" i="2" a="1"/>
  <c r="N533" i="2"/>
  <c r="N534" i="2" a="1"/>
  <c r="N534" i="2" s="1"/>
  <c r="N535" i="2" a="1"/>
  <c r="N535" i="2"/>
  <c r="N536" i="2" a="1"/>
  <c r="N536" i="2" s="1"/>
  <c r="N537" i="2" a="1"/>
  <c r="N537" i="2" s="1"/>
  <c r="N538" i="2" a="1"/>
  <c r="N538" i="2" s="1"/>
  <c r="N539" i="2" a="1"/>
  <c r="N539" i="2" s="1"/>
  <c r="N540" i="2" a="1"/>
  <c r="N540" i="2" s="1"/>
  <c r="N541" i="2" a="1"/>
  <c r="N541" i="2"/>
  <c r="N542" i="2" a="1"/>
  <c r="N542" i="2" s="1"/>
  <c r="N543" i="2" a="1"/>
  <c r="N543" i="2"/>
  <c r="N544" i="2" a="1"/>
  <c r="N544" i="2" s="1"/>
  <c r="N545" i="2" a="1"/>
  <c r="N545" i="2" s="1"/>
  <c r="N546" i="2" a="1"/>
  <c r="N546" i="2" s="1"/>
  <c r="N547" i="2" a="1"/>
  <c r="N547" i="2" s="1"/>
  <c r="N548" i="2" a="1"/>
  <c r="N548" i="2" s="1"/>
  <c r="N549" i="2" a="1"/>
  <c r="N549" i="2"/>
  <c r="N550" i="2" a="1"/>
  <c r="N550" i="2" s="1"/>
  <c r="N551" i="2" a="1"/>
  <c r="N551" i="2"/>
  <c r="N552" i="2" a="1"/>
  <c r="N552" i="2" s="1"/>
  <c r="N553" i="2" a="1"/>
  <c r="N553" i="2" s="1"/>
  <c r="N554" i="2" a="1"/>
  <c r="N554" i="2" s="1"/>
  <c r="N555" i="2" a="1"/>
  <c r="N555" i="2" s="1"/>
  <c r="N556" i="2" a="1"/>
  <c r="N556" i="2" s="1"/>
  <c r="N557" i="2" a="1"/>
  <c r="N557" i="2"/>
  <c r="N558" i="2" a="1"/>
  <c r="N558" i="2" s="1"/>
  <c r="N559" i="2" a="1"/>
  <c r="N559" i="2"/>
  <c r="N560" i="2" a="1"/>
  <c r="N560" i="2" s="1"/>
  <c r="N561" i="2" a="1"/>
  <c r="N561" i="2" s="1"/>
  <c r="N562" i="2" a="1"/>
  <c r="N562" i="2" s="1"/>
  <c r="N563" i="2" a="1"/>
  <c r="N563" i="2" s="1"/>
  <c r="N564" i="2" a="1"/>
  <c r="N564" i="2" s="1"/>
  <c r="N565" i="2" a="1"/>
  <c r="N565" i="2"/>
  <c r="N566" i="2" a="1"/>
  <c r="N566" i="2" s="1"/>
  <c r="N567" i="2" a="1"/>
  <c r="N567" i="2" s="1"/>
  <c r="N568" i="2" a="1"/>
  <c r="N568" i="2" s="1"/>
  <c r="N569" i="2" a="1"/>
  <c r="N569" i="2"/>
  <c r="N570" i="2" a="1"/>
  <c r="N570" i="2" s="1"/>
  <c r="N571" i="2" a="1"/>
  <c r="N571" i="2" s="1"/>
  <c r="N572" i="2" a="1"/>
  <c r="N572" i="2" s="1"/>
  <c r="N573" i="2" a="1"/>
  <c r="N573" i="2"/>
  <c r="N574" i="2" a="1"/>
  <c r="N574" i="2" s="1"/>
  <c r="N575" i="2" a="1"/>
  <c r="N575" i="2" s="1"/>
  <c r="N576" i="2" a="1"/>
  <c r="N576" i="2" s="1"/>
  <c r="N577" i="2" a="1"/>
  <c r="N577" i="2"/>
  <c r="N578" i="2" a="1"/>
  <c r="N578" i="2" s="1"/>
  <c r="N579" i="2" a="1"/>
  <c r="N579" i="2" s="1"/>
  <c r="N580" i="2" a="1"/>
  <c r="N580" i="2" s="1"/>
  <c r="N581" i="2" a="1"/>
  <c r="N581" i="2"/>
  <c r="N582" i="2" a="1"/>
  <c r="N582" i="2" s="1"/>
  <c r="N583" i="2" a="1"/>
  <c r="N583" i="2" s="1"/>
  <c r="N584" i="2" a="1"/>
  <c r="N584" i="2" s="1"/>
  <c r="N585" i="2" a="1"/>
  <c r="N585" i="2"/>
  <c r="N586" i="2" a="1"/>
  <c r="N586" i="2" s="1"/>
  <c r="N587" i="2" a="1"/>
  <c r="N587" i="2" s="1"/>
  <c r="N588" i="2" a="1"/>
  <c r="N588" i="2" s="1"/>
  <c r="N589" i="2" a="1"/>
  <c r="N589" i="2"/>
  <c r="N590" i="2" a="1"/>
  <c r="N590" i="2" s="1"/>
  <c r="N591" i="2" a="1"/>
  <c r="N591" i="2" s="1"/>
  <c r="N592" i="2" a="1"/>
  <c r="N592" i="2" s="1"/>
  <c r="N593" i="2" a="1"/>
  <c r="N593" i="2"/>
  <c r="N594" i="2" a="1"/>
  <c r="N594" i="2" s="1"/>
  <c r="N595" i="2" a="1"/>
  <c r="N595" i="2" s="1"/>
  <c r="N596" i="2" a="1"/>
  <c r="N596" i="2" s="1"/>
  <c r="N597" i="2" a="1"/>
  <c r="N597" i="2"/>
  <c r="N598" i="2" a="1"/>
  <c r="N598" i="2" s="1"/>
  <c r="N599" i="2" a="1"/>
  <c r="N599" i="2" s="1"/>
  <c r="N600" i="2" a="1"/>
  <c r="N600" i="2" s="1"/>
  <c r="N601" i="2" a="1"/>
  <c r="N601" i="2"/>
  <c r="N602" i="2" a="1"/>
  <c r="N602" i="2" s="1"/>
  <c r="N603" i="2" a="1"/>
  <c r="N603" i="2" s="1"/>
  <c r="N604" i="2" a="1"/>
  <c r="N604" i="2" s="1"/>
  <c r="N605" i="2" a="1"/>
  <c r="N605" i="2"/>
  <c r="N606" i="2" a="1"/>
  <c r="N606" i="2" s="1"/>
  <c r="N607" i="2" a="1"/>
  <c r="N607" i="2" s="1"/>
  <c r="N608" i="2" a="1"/>
  <c r="N608" i="2" s="1"/>
  <c r="N609" i="2" a="1"/>
  <c r="N609" i="2"/>
  <c r="N610" i="2" a="1"/>
  <c r="N610" i="2" s="1"/>
  <c r="N611" i="2" a="1"/>
  <c r="N611" i="2" s="1"/>
  <c r="N612" i="2" a="1"/>
  <c r="N612" i="2" s="1"/>
  <c r="N613" i="2" a="1"/>
  <c r="N613" i="2"/>
  <c r="N614" i="2" a="1"/>
  <c r="N614" i="2" s="1"/>
  <c r="N615" i="2" a="1"/>
  <c r="N615" i="2" s="1"/>
  <c r="N616" i="2" a="1"/>
  <c r="N616" i="2" s="1"/>
  <c r="N617" i="2" a="1"/>
  <c r="N617" i="2"/>
  <c r="N618" i="2" a="1"/>
  <c r="N618" i="2" s="1"/>
  <c r="N619" i="2" a="1"/>
  <c r="N619" i="2" s="1"/>
  <c r="N620" i="2" a="1"/>
  <c r="N620" i="2" s="1"/>
  <c r="N621" i="2" a="1"/>
  <c r="N621" i="2"/>
  <c r="N622" i="2" a="1"/>
  <c r="N622" i="2" s="1"/>
  <c r="N623" i="2" a="1"/>
  <c r="N623" i="2" s="1"/>
  <c r="N624" i="2" a="1"/>
  <c r="N624" i="2" s="1"/>
  <c r="N625" i="2" a="1"/>
  <c r="N625" i="2"/>
  <c r="N626" i="2" a="1"/>
  <c r="N626" i="2" s="1"/>
  <c r="N627" i="2" a="1"/>
  <c r="N627" i="2" s="1"/>
  <c r="N628" i="2" a="1"/>
  <c r="N628" i="2" s="1"/>
  <c r="N629" i="2" a="1"/>
  <c r="N629" i="2"/>
  <c r="N630" i="2" a="1"/>
  <c r="N630" i="2" s="1"/>
  <c r="N631" i="2" a="1"/>
  <c r="N631" i="2"/>
  <c r="N632" i="2" a="1"/>
  <c r="N632" i="2" s="1"/>
  <c r="N633" i="2" a="1"/>
  <c r="N633" i="2"/>
  <c r="N634" i="2" a="1"/>
  <c r="N634" i="2" s="1"/>
  <c r="N635" i="2" a="1"/>
  <c r="N635" i="2" s="1"/>
  <c r="N636" i="2" a="1"/>
  <c r="N636" i="2" s="1"/>
  <c r="N637" i="2" a="1"/>
  <c r="N637" i="2"/>
  <c r="N638" i="2" a="1"/>
  <c r="N638" i="2" s="1"/>
  <c r="N639" i="2" a="1"/>
  <c r="N639" i="2"/>
  <c r="N640" i="2" a="1"/>
  <c r="N640" i="2" s="1"/>
  <c r="N641" i="2" a="1"/>
  <c r="N641" i="2" s="1"/>
  <c r="N642" i="2" a="1"/>
  <c r="N642" i="2" s="1"/>
  <c r="N643" i="2" a="1"/>
  <c r="N643" i="2" s="1"/>
  <c r="N644" i="2" a="1"/>
  <c r="N644" i="2" s="1"/>
  <c r="N645" i="2" a="1"/>
  <c r="N645" i="2"/>
  <c r="N646" i="2" a="1"/>
  <c r="N646" i="2" s="1"/>
  <c r="N647" i="2" a="1"/>
  <c r="N647" i="2" s="1"/>
  <c r="N648" i="2" a="1"/>
  <c r="N648" i="2" s="1"/>
  <c r="N649" i="2" a="1"/>
  <c r="N649" i="2"/>
  <c r="N650" i="2" a="1"/>
  <c r="N650" i="2" s="1"/>
  <c r="N651" i="2" a="1"/>
  <c r="N651" i="2" s="1"/>
  <c r="N652" i="2" a="1"/>
  <c r="N652" i="2" s="1"/>
  <c r="N653" i="2" a="1"/>
  <c r="N653" i="2"/>
  <c r="N654" i="2" a="1"/>
  <c r="N654" i="2" s="1"/>
  <c r="N655" i="2" a="1"/>
  <c r="N655" i="2" s="1"/>
  <c r="N656" i="2" a="1"/>
  <c r="N656" i="2" s="1"/>
  <c r="N657" i="2" a="1"/>
  <c r="N657" i="2"/>
  <c r="N658" i="2" a="1"/>
  <c r="N658" i="2" s="1"/>
  <c r="N659" i="2" a="1"/>
  <c r="N659" i="2" s="1"/>
  <c r="N660" i="2" a="1"/>
  <c r="N660" i="2" s="1"/>
  <c r="N661" i="2" a="1"/>
  <c r="N661" i="2"/>
  <c r="N662" i="2" a="1"/>
  <c r="N662" i="2" s="1"/>
  <c r="N663" i="2" a="1"/>
  <c r="N663" i="2" s="1"/>
  <c r="N664" i="2" a="1"/>
  <c r="N664" i="2" s="1"/>
  <c r="N665" i="2" a="1"/>
  <c r="N665" i="2" s="1"/>
  <c r="N666" i="2" a="1"/>
  <c r="N666" i="2" s="1"/>
  <c r="N667" i="2" a="1"/>
  <c r="N667" i="2" s="1"/>
  <c r="N668" i="2" a="1"/>
  <c r="N668" i="2" s="1"/>
  <c r="N669" i="2" a="1"/>
  <c r="N669" i="2"/>
  <c r="N670" i="2" a="1"/>
  <c r="N670" i="2" s="1"/>
  <c r="N671" i="2" a="1"/>
  <c r="N671" i="2" s="1"/>
  <c r="N672" i="2" a="1"/>
  <c r="N672" i="2" s="1"/>
  <c r="N673" i="2" a="1"/>
  <c r="N673" i="2" s="1"/>
  <c r="N674" i="2" a="1"/>
  <c r="N674" i="2" s="1"/>
  <c r="N675" i="2" a="1"/>
  <c r="N675" i="2" s="1"/>
  <c r="N676" i="2" a="1"/>
  <c r="N676" i="2" s="1"/>
  <c r="N677" i="2" a="1"/>
  <c r="N677" i="2"/>
  <c r="N678" i="2" a="1"/>
  <c r="N678" i="2" s="1"/>
  <c r="N679" i="2" a="1"/>
  <c r="N679" i="2" s="1"/>
  <c r="N680" i="2" a="1"/>
  <c r="N680" i="2" s="1"/>
  <c r="N681" i="2" a="1"/>
  <c r="N681" i="2" s="1"/>
  <c r="N682" i="2" a="1"/>
  <c r="N682" i="2" s="1"/>
  <c r="N683" i="2" a="1"/>
  <c r="N683" i="2" s="1"/>
  <c r="N684" i="2" a="1"/>
  <c r="N684" i="2" s="1"/>
  <c r="N685" i="2" a="1"/>
  <c r="N685" i="2"/>
  <c r="N686" i="2" a="1"/>
  <c r="N686" i="2" s="1"/>
  <c r="N687" i="2" a="1"/>
  <c r="N687" i="2" s="1"/>
  <c r="N688" i="2" a="1"/>
  <c r="N688" i="2" s="1"/>
  <c r="N689" i="2" a="1"/>
  <c r="N689" i="2" s="1"/>
  <c r="N690" i="2" a="1"/>
  <c r="N690" i="2" s="1"/>
  <c r="N691" i="2" a="1"/>
  <c r="N691" i="2" s="1"/>
  <c r="N692" i="2" a="1"/>
  <c r="N692" i="2" s="1"/>
  <c r="N693" i="2" a="1"/>
  <c r="N693" i="2"/>
  <c r="N694" i="2" a="1"/>
  <c r="N694" i="2" s="1"/>
  <c r="N695" i="2" a="1"/>
  <c r="N695" i="2" s="1"/>
  <c r="N696" i="2" a="1"/>
  <c r="N696" i="2" s="1"/>
  <c r="N697" i="2" a="1"/>
  <c r="N697" i="2" s="1"/>
  <c r="N698" i="2" a="1"/>
  <c r="N698" i="2" s="1"/>
  <c r="N699" i="2" a="1"/>
  <c r="N699" i="2" s="1"/>
  <c r="N700" i="2" a="1"/>
  <c r="N700" i="2" s="1"/>
  <c r="N701" i="2" a="1"/>
  <c r="N701" i="2"/>
  <c r="N702" i="2" a="1"/>
  <c r="N702" i="2" s="1"/>
  <c r="N703" i="2" a="1"/>
  <c r="N703" i="2" s="1"/>
  <c r="N704" i="2" a="1"/>
  <c r="N704" i="2" s="1"/>
  <c r="N705" i="2" a="1"/>
  <c r="N705" i="2" s="1"/>
  <c r="N706" i="2" a="1"/>
  <c r="N706" i="2" s="1"/>
  <c r="N707" i="2" a="1"/>
  <c r="N707" i="2" s="1"/>
  <c r="N708" i="2" a="1"/>
  <c r="N708" i="2" s="1"/>
  <c r="N709" i="2" a="1"/>
  <c r="N709" i="2"/>
  <c r="N710" i="2" a="1"/>
  <c r="N710" i="2" s="1"/>
  <c r="N711" i="2" a="1"/>
  <c r="N711" i="2" s="1"/>
  <c r="N712" i="2" a="1"/>
  <c r="N712" i="2" s="1"/>
  <c r="N713" i="2" a="1"/>
  <c r="N713" i="2" s="1"/>
  <c r="N714" i="2" a="1"/>
  <c r="N714" i="2" s="1"/>
  <c r="N715" i="2" a="1"/>
  <c r="N715" i="2" s="1"/>
  <c r="N716" i="2" a="1"/>
  <c r="N716" i="2" s="1"/>
  <c r="N717" i="2" a="1"/>
  <c r="N717" i="2"/>
  <c r="N718" i="2" a="1"/>
  <c r="N718" i="2" s="1"/>
  <c r="N719" i="2" a="1"/>
  <c r="N719" i="2" s="1"/>
  <c r="N720" i="2" a="1"/>
  <c r="N720" i="2" s="1"/>
  <c r="N721" i="2" a="1"/>
  <c r="N721" i="2" s="1"/>
  <c r="N722" i="2" a="1"/>
  <c r="N722" i="2" s="1"/>
  <c r="N723" i="2" a="1"/>
  <c r="N723" i="2" s="1"/>
  <c r="N724" i="2" a="1"/>
  <c r="N724" i="2" s="1"/>
  <c r="N725" i="2" a="1"/>
  <c r="N725" i="2"/>
  <c r="N726" i="2" a="1"/>
  <c r="N726" i="2" s="1"/>
  <c r="N727" i="2" a="1"/>
  <c r="N727" i="2" s="1"/>
  <c r="N728" i="2" a="1"/>
  <c r="N728" i="2" s="1"/>
  <c r="N729" i="2" a="1"/>
  <c r="N729" i="2" s="1"/>
  <c r="N730" i="2" a="1"/>
  <c r="N730" i="2" s="1"/>
  <c r="N731" i="2" a="1"/>
  <c r="N731" i="2" s="1"/>
  <c r="N732" i="2" a="1"/>
  <c r="N732" i="2" s="1"/>
  <c r="N733" i="2" a="1"/>
  <c r="N733" i="2"/>
  <c r="N734" i="2" a="1"/>
  <c r="N734" i="2" s="1"/>
  <c r="N735" i="2" a="1"/>
  <c r="N735" i="2"/>
  <c r="N736" i="2" a="1"/>
  <c r="N736" i="2" s="1"/>
  <c r="N737" i="2" a="1"/>
  <c r="N737" i="2" s="1"/>
  <c r="N738" i="2" a="1"/>
  <c r="N738" i="2" s="1"/>
  <c r="N739" i="2" a="1"/>
  <c r="N739" i="2" s="1"/>
  <c r="N740" i="2" a="1"/>
  <c r="N740" i="2" s="1"/>
  <c r="N741" i="2" a="1"/>
  <c r="N741" i="2"/>
  <c r="N742" i="2" a="1"/>
  <c r="N742" i="2" s="1"/>
  <c r="N743" i="2" a="1"/>
  <c r="N743" i="2"/>
  <c r="N744" i="2" a="1"/>
  <c r="N744" i="2" s="1"/>
  <c r="N745" i="2" a="1"/>
  <c r="N745" i="2" s="1"/>
  <c r="N746" i="2" a="1"/>
  <c r="N746" i="2" s="1"/>
  <c r="N747" i="2" a="1"/>
  <c r="N747" i="2" s="1"/>
  <c r="N748" i="2" a="1"/>
  <c r="N748" i="2" s="1"/>
  <c r="N749" i="2" a="1"/>
  <c r="N749" i="2"/>
  <c r="N750" i="2" a="1"/>
  <c r="N750" i="2" s="1"/>
  <c r="N751" i="2" a="1"/>
  <c r="N751" i="2"/>
  <c r="N752" i="2" a="1"/>
  <c r="N752" i="2" s="1"/>
  <c r="N753" i="2" a="1"/>
  <c r="N753" i="2" s="1"/>
  <c r="N754" i="2" a="1"/>
  <c r="N754" i="2" s="1"/>
  <c r="N755" i="2" a="1"/>
  <c r="N755" i="2" s="1"/>
  <c r="N756" i="2" a="1"/>
  <c r="N756" i="2" s="1"/>
  <c r="N757" i="2" a="1"/>
  <c r="N757" i="2"/>
  <c r="N758" i="2" a="1"/>
  <c r="N758" i="2" s="1"/>
  <c r="N759" i="2" a="1"/>
  <c r="N759" i="2"/>
  <c r="N760" i="2" a="1"/>
  <c r="N760" i="2" s="1"/>
  <c r="N761" i="2" a="1"/>
  <c r="N761" i="2" s="1"/>
  <c r="N762" i="2" a="1"/>
  <c r="N762" i="2" s="1"/>
  <c r="N763" i="2" a="1"/>
  <c r="N763" i="2" s="1"/>
  <c r="N764" i="2" a="1"/>
  <c r="N764" i="2" s="1"/>
  <c r="N765" i="2" a="1"/>
  <c r="N765" i="2"/>
  <c r="N766" i="2" a="1"/>
  <c r="N766" i="2" s="1"/>
  <c r="N767" i="2" a="1"/>
  <c r="N767" i="2"/>
  <c r="N768" i="2" a="1"/>
  <c r="N768" i="2" s="1"/>
  <c r="N769" i="2" a="1"/>
  <c r="N769" i="2" s="1"/>
  <c r="N770" i="2" a="1"/>
  <c r="N770" i="2" s="1"/>
  <c r="N771" i="2" a="1"/>
  <c r="N771" i="2" s="1"/>
  <c r="N772" i="2" a="1"/>
  <c r="N772" i="2" s="1"/>
  <c r="N773" i="2" a="1"/>
  <c r="N773" i="2"/>
  <c r="N774" i="2" a="1"/>
  <c r="N774" i="2" s="1"/>
  <c r="N775" i="2" a="1"/>
  <c r="N775" i="2"/>
  <c r="N776" i="2" a="1"/>
  <c r="N776" i="2" s="1"/>
  <c r="N777" i="2" a="1"/>
  <c r="N777" i="2" s="1"/>
  <c r="N778" i="2" a="1"/>
  <c r="N778" i="2"/>
  <c r="N779" i="2" a="1"/>
  <c r="N779" i="2" s="1"/>
  <c r="N780" i="2" a="1"/>
  <c r="N780" i="2"/>
  <c r="N781" i="2" a="1"/>
  <c r="N781" i="2" s="1"/>
  <c r="N782" i="2" a="1"/>
  <c r="N782" i="2"/>
  <c r="N783" i="2" a="1"/>
  <c r="N783" i="2" s="1"/>
  <c r="N784" i="2" a="1"/>
  <c r="N784" i="2"/>
  <c r="N785" i="2" a="1"/>
  <c r="N785" i="2" s="1"/>
  <c r="N786" i="2" a="1"/>
  <c r="N786" i="2"/>
  <c r="N787" i="2" a="1"/>
  <c r="N787" i="2" s="1"/>
  <c r="N788" i="2" a="1"/>
  <c r="N788" i="2"/>
  <c r="N789" i="2" a="1"/>
  <c r="N789" i="2" s="1"/>
  <c r="N790" i="2" a="1"/>
  <c r="N790" i="2"/>
  <c r="N791" i="2" a="1"/>
  <c r="N791" i="2" s="1"/>
  <c r="N792" i="2" a="1"/>
  <c r="N792" i="2"/>
  <c r="N793" i="2" a="1"/>
  <c r="N793" i="2" s="1"/>
  <c r="N794" i="2" a="1"/>
  <c r="N794" i="2"/>
  <c r="N795" i="2" a="1"/>
  <c r="N795" i="2" s="1"/>
  <c r="N796" i="2" a="1"/>
  <c r="N796" i="2"/>
  <c r="N797" i="2" a="1"/>
  <c r="N797" i="2" s="1"/>
  <c r="N798" i="2" a="1"/>
  <c r="N798" i="2"/>
  <c r="N799" i="2" a="1"/>
  <c r="N799" i="2" s="1"/>
  <c r="N800" i="2" a="1"/>
  <c r="N800" i="2"/>
  <c r="N801" i="2" a="1"/>
  <c r="N801" i="2" s="1"/>
  <c r="N802" i="2" a="1"/>
  <c r="N802" i="2"/>
  <c r="N803" i="2" a="1"/>
  <c r="N803" i="2" s="1"/>
  <c r="N804" i="2" a="1"/>
  <c r="N804" i="2"/>
  <c r="N805" i="2" a="1"/>
  <c r="N805" i="2" s="1"/>
  <c r="N806" i="2" a="1"/>
  <c r="N806" i="2"/>
  <c r="N807" i="2" a="1"/>
  <c r="N807" i="2" s="1"/>
  <c r="N808" i="2" a="1"/>
  <c r="N808" i="2"/>
  <c r="N809" i="2" a="1"/>
  <c r="N809" i="2" s="1"/>
  <c r="N810" i="2" a="1"/>
  <c r="N810" i="2"/>
  <c r="N811" i="2" a="1"/>
  <c r="N811" i="2" s="1"/>
  <c r="N812" i="2" a="1"/>
  <c r="N812" i="2"/>
  <c r="N813" i="2" a="1"/>
  <c r="N813" i="2" s="1"/>
  <c r="N814" i="2" a="1"/>
  <c r="N814" i="2"/>
  <c r="N815" i="2" a="1"/>
  <c r="N815" i="2" s="1"/>
  <c r="N816" i="2" a="1"/>
  <c r="N816" i="2"/>
  <c r="N817" i="2" a="1"/>
  <c r="N817" i="2" s="1"/>
  <c r="N818" i="2" a="1"/>
  <c r="N818" i="2"/>
  <c r="N819" i="2" a="1"/>
  <c r="N819" i="2" s="1"/>
  <c r="N820" i="2" a="1"/>
  <c r="N820" i="2"/>
  <c r="N821" i="2" a="1"/>
  <c r="N821" i="2" s="1"/>
  <c r="N822" i="2" a="1"/>
  <c r="N822" i="2"/>
  <c r="N823" i="2" a="1"/>
  <c r="N823" i="2" s="1"/>
  <c r="N824" i="2" a="1"/>
  <c r="N824" i="2"/>
  <c r="N825" i="2" a="1"/>
  <c r="N825" i="2" s="1"/>
  <c r="N826" i="2" a="1"/>
  <c r="N826" i="2"/>
  <c r="N827" i="2" a="1"/>
  <c r="N827" i="2" s="1"/>
  <c r="N828" i="2" a="1"/>
  <c r="N828" i="2"/>
  <c r="N829" i="2" a="1"/>
  <c r="N829" i="2" s="1"/>
  <c r="N830" i="2" a="1"/>
  <c r="N830" i="2"/>
  <c r="N831" i="2" a="1"/>
  <c r="N831" i="2" s="1"/>
  <c r="N832" i="2" a="1"/>
  <c r="N832" i="2"/>
  <c r="N833" i="2" a="1"/>
  <c r="N833" i="2" s="1"/>
  <c r="N834" i="2" a="1"/>
  <c r="N834" i="2"/>
  <c r="N835" i="2" a="1"/>
  <c r="N835" i="2" s="1"/>
  <c r="N836" i="2" a="1"/>
  <c r="N836" i="2"/>
  <c r="N837" i="2" a="1"/>
  <c r="N837" i="2" s="1"/>
  <c r="N838" i="2" a="1"/>
  <c r="N838" i="2"/>
  <c r="N839" i="2" a="1"/>
  <c r="N839" i="2" s="1"/>
  <c r="N840" i="2" a="1"/>
  <c r="N840" i="2"/>
  <c r="N841" i="2" a="1"/>
  <c r="N841" i="2" s="1"/>
  <c r="N842" i="2" a="1"/>
  <c r="N842" i="2"/>
  <c r="N843" i="2" a="1"/>
  <c r="N843" i="2" s="1"/>
  <c r="N844" i="2" a="1"/>
  <c r="N844" i="2"/>
  <c r="N845" i="2" a="1"/>
  <c r="N845" i="2" s="1"/>
  <c r="N846" i="2" a="1"/>
  <c r="N846" i="2"/>
  <c r="N847" i="2" a="1"/>
  <c r="N847" i="2" s="1"/>
  <c r="N848" i="2" a="1"/>
  <c r="N848" i="2"/>
  <c r="N849" i="2" a="1"/>
  <c r="N849" i="2" s="1"/>
  <c r="N850" i="2" a="1"/>
  <c r="N850" i="2"/>
  <c r="N851" i="2" a="1"/>
  <c r="N851" i="2" s="1"/>
  <c r="N852" i="2" a="1"/>
  <c r="N852" i="2"/>
  <c r="N853" i="2" a="1"/>
  <c r="N853" i="2" s="1"/>
  <c r="N854" i="2" a="1"/>
  <c r="N854" i="2"/>
  <c r="N855" i="2" a="1"/>
  <c r="N855" i="2" s="1"/>
  <c r="N856" i="2" a="1"/>
  <c r="N856" i="2"/>
  <c r="N857" i="2" a="1"/>
  <c r="N857" i="2" s="1"/>
  <c r="N858" i="2" a="1"/>
  <c r="N858" i="2"/>
  <c r="N859" i="2" a="1"/>
  <c r="N859" i="2" s="1"/>
  <c r="N860" i="2" a="1"/>
  <c r="N860" i="2"/>
  <c r="N861" i="2" a="1"/>
  <c r="N861" i="2" s="1"/>
  <c r="N862" i="2" a="1"/>
  <c r="N862" i="2"/>
  <c r="N863" i="2" a="1"/>
  <c r="N863" i="2" s="1"/>
  <c r="N864" i="2" a="1"/>
  <c r="N864" i="2"/>
  <c r="N865" i="2" a="1"/>
  <c r="N865" i="2" s="1"/>
  <c r="N866" i="2" a="1"/>
  <c r="N866" i="2"/>
  <c r="N867" i="2" a="1"/>
  <c r="N867" i="2" s="1"/>
  <c r="N868" i="2" a="1"/>
  <c r="N868" i="2"/>
  <c r="N869" i="2" a="1"/>
  <c r="N869" i="2" s="1"/>
  <c r="N870" i="2" a="1"/>
  <c r="N870" i="2"/>
  <c r="N871" i="2" a="1"/>
  <c r="N871" i="2" s="1"/>
  <c r="N872" i="2" a="1"/>
  <c r="N872" i="2"/>
  <c r="N873" i="2" a="1"/>
  <c r="N873" i="2" s="1"/>
  <c r="N874" i="2" a="1"/>
  <c r="N874" i="2"/>
  <c r="N875" i="2" a="1"/>
  <c r="N875" i="2" s="1"/>
  <c r="N876" i="2" a="1"/>
  <c r="N876" i="2"/>
  <c r="N877" i="2" a="1"/>
  <c r="N877" i="2" s="1"/>
  <c r="N878" i="2" a="1"/>
  <c r="N878" i="2"/>
  <c r="N879" i="2" a="1"/>
  <c r="N879" i="2" s="1"/>
  <c r="N880" i="2" a="1"/>
  <c r="N880" i="2"/>
  <c r="N881" i="2" a="1"/>
  <c r="N881" i="2" s="1"/>
  <c r="N882" i="2" a="1"/>
  <c r="N882" i="2"/>
  <c r="N883" i="2" a="1"/>
  <c r="N883" i="2" s="1"/>
  <c r="N884" i="2" a="1"/>
  <c r="N884" i="2"/>
  <c r="N885" i="2" a="1"/>
  <c r="N885" i="2" s="1"/>
  <c r="N886" i="2" a="1"/>
  <c r="N886" i="2"/>
  <c r="N887" i="2" a="1"/>
  <c r="N887" i="2" s="1"/>
  <c r="N888" i="2" a="1"/>
  <c r="N888" i="2"/>
  <c r="N889" i="2" a="1"/>
  <c r="N889" i="2" s="1"/>
  <c r="N890" i="2" a="1"/>
  <c r="N890" i="2"/>
  <c r="N891" i="2" a="1"/>
  <c r="N891" i="2" s="1"/>
  <c r="N892" i="2" a="1"/>
  <c r="N892" i="2"/>
  <c r="N893" i="2" a="1"/>
  <c r="N893" i="2" s="1"/>
  <c r="N894" i="2" a="1"/>
  <c r="N894" i="2"/>
  <c r="N895" i="2" a="1"/>
  <c r="N895" i="2" s="1"/>
  <c r="N896" i="2" a="1"/>
  <c r="N896" i="2"/>
  <c r="N897" i="2" a="1"/>
  <c r="N897" i="2" s="1"/>
  <c r="N898" i="2" a="1"/>
  <c r="N898" i="2"/>
  <c r="N899" i="2" a="1"/>
  <c r="N899" i="2" s="1"/>
  <c r="N900" i="2" a="1"/>
  <c r="N900" i="2"/>
  <c r="N901" i="2" a="1"/>
  <c r="N901" i="2" s="1"/>
  <c r="N902" i="2" a="1"/>
  <c r="N902" i="2"/>
  <c r="N903" i="2" a="1"/>
  <c r="N903" i="2" s="1"/>
  <c r="N904" i="2" a="1"/>
  <c r="N904" i="2"/>
  <c r="N905" i="2" a="1"/>
  <c r="N905" i="2" s="1"/>
  <c r="N906" i="2" a="1"/>
  <c r="N906" i="2"/>
  <c r="N907" i="2" a="1"/>
  <c r="N907" i="2" s="1"/>
  <c r="N908" i="2" a="1"/>
  <c r="N908" i="2"/>
  <c r="N909" i="2" a="1"/>
  <c r="N909" i="2" s="1"/>
  <c r="N910" i="2" a="1"/>
  <c r="N910" i="2"/>
  <c r="N911" i="2" a="1"/>
  <c r="N911" i="2" s="1"/>
  <c r="N912" i="2" a="1"/>
  <c r="N912" i="2"/>
  <c r="N913" i="2" a="1"/>
  <c r="N913" i="2" s="1"/>
  <c r="N914" i="2" a="1"/>
  <c r="N914" i="2"/>
  <c r="N915" i="2" a="1"/>
  <c r="N915" i="2" s="1"/>
  <c r="N916" i="2" a="1"/>
  <c r="N916" i="2"/>
  <c r="N917" i="2" a="1"/>
  <c r="N917" i="2" s="1"/>
  <c r="N918" i="2" a="1"/>
  <c r="N918" i="2"/>
  <c r="N919" i="2" a="1"/>
  <c r="N919" i="2" s="1"/>
  <c r="N920" i="2" a="1"/>
  <c r="N920" i="2"/>
  <c r="N921" i="2" a="1"/>
  <c r="N921" i="2" s="1"/>
  <c r="N922" i="2" a="1"/>
  <c r="N922" i="2"/>
  <c r="N923" i="2" a="1"/>
  <c r="N923" i="2" s="1"/>
  <c r="N924" i="2" a="1"/>
  <c r="N924" i="2"/>
  <c r="N925" i="2" a="1"/>
  <c r="N925" i="2" s="1"/>
  <c r="N926" i="2" a="1"/>
  <c r="N926" i="2"/>
  <c r="N927" i="2" a="1"/>
  <c r="N927" i="2" s="1"/>
  <c r="N928" i="2" a="1"/>
  <c r="N928" i="2"/>
  <c r="N929" i="2" a="1"/>
  <c r="N929" i="2" s="1"/>
  <c r="N930" i="2" a="1"/>
  <c r="N930" i="2"/>
  <c r="N931" i="2" a="1"/>
  <c r="N931" i="2" s="1"/>
  <c r="N932" i="2" a="1"/>
  <c r="N932" i="2"/>
  <c r="N933" i="2" a="1"/>
  <c r="N933" i="2" s="1"/>
  <c r="N934" i="2" a="1"/>
  <c r="N934" i="2"/>
  <c r="N935" i="2" a="1"/>
  <c r="N935" i="2" s="1"/>
  <c r="N936" i="2" a="1"/>
  <c r="N936" i="2"/>
  <c r="N937" i="2" a="1"/>
  <c r="N937" i="2" s="1"/>
  <c r="N938" i="2" a="1"/>
  <c r="N938" i="2"/>
  <c r="N939" i="2" a="1"/>
  <c r="N939" i="2" s="1"/>
  <c r="N940" i="2" a="1"/>
  <c r="N940" i="2"/>
  <c r="N941" i="2" a="1"/>
  <c r="N941" i="2" s="1"/>
  <c r="N942" i="2" a="1"/>
  <c r="N942" i="2"/>
  <c r="N943" i="2" a="1"/>
  <c r="N943" i="2" s="1"/>
  <c r="N944" i="2" a="1"/>
  <c r="N944" i="2"/>
  <c r="N945" i="2" a="1"/>
  <c r="N945" i="2" s="1"/>
  <c r="N946" i="2" a="1"/>
  <c r="N946" i="2"/>
  <c r="N947" i="2" a="1"/>
  <c r="N947" i="2" s="1"/>
  <c r="N948" i="2" a="1"/>
  <c r="N948" i="2"/>
  <c r="N949" i="2" a="1"/>
  <c r="N949" i="2" s="1"/>
  <c r="N950" i="2" a="1"/>
  <c r="N950" i="2"/>
  <c r="N951" i="2" a="1"/>
  <c r="N951" i="2" s="1"/>
  <c r="N952" i="2" a="1"/>
  <c r="N952" i="2"/>
  <c r="N953" i="2" a="1"/>
  <c r="N953" i="2" s="1"/>
  <c r="N954" i="2" a="1"/>
  <c r="N954" i="2"/>
  <c r="N955" i="2" a="1"/>
  <c r="N955" i="2" s="1"/>
  <c r="N956" i="2" a="1"/>
  <c r="N956" i="2"/>
  <c r="N957" i="2" a="1"/>
  <c r="N957" i="2" s="1"/>
  <c r="N958" i="2" a="1"/>
  <c r="N958" i="2"/>
  <c r="N959" i="2" a="1"/>
  <c r="N959" i="2" s="1"/>
  <c r="N960" i="2" a="1"/>
  <c r="N960" i="2"/>
  <c r="N961" i="2" a="1"/>
  <c r="N961" i="2" s="1"/>
  <c r="N962" i="2" a="1"/>
  <c r="N962" i="2"/>
  <c r="N963" i="2" a="1"/>
  <c r="N963" i="2" s="1"/>
  <c r="N964" i="2" a="1"/>
  <c r="N964" i="2"/>
  <c r="N965" i="2" a="1"/>
  <c r="N965" i="2" s="1"/>
  <c r="N966" i="2" a="1"/>
  <c r="N966" i="2"/>
  <c r="N967" i="2" a="1"/>
  <c r="N967" i="2" s="1"/>
  <c r="N968" i="2" a="1"/>
  <c r="N968" i="2"/>
  <c r="N969" i="2" a="1"/>
  <c r="N969" i="2" s="1"/>
  <c r="N970" i="2" a="1"/>
  <c r="N970" i="2"/>
  <c r="N971" i="2" a="1"/>
  <c r="N971" i="2" s="1"/>
  <c r="N972" i="2" a="1"/>
  <c r="N972" i="2"/>
  <c r="N973" i="2" a="1"/>
  <c r="N973" i="2" s="1"/>
  <c r="N974" i="2" a="1"/>
  <c r="N974" i="2"/>
  <c r="N975" i="2" a="1"/>
  <c r="N975" i="2" s="1"/>
  <c r="N976" i="2" a="1"/>
  <c r="N976" i="2"/>
  <c r="N977" i="2" a="1"/>
  <c r="N977" i="2" s="1"/>
  <c r="N978" i="2" a="1"/>
  <c r="N978" i="2"/>
  <c r="N979" i="2" a="1"/>
  <c r="N979" i="2" s="1"/>
  <c r="N980" i="2" a="1"/>
  <c r="N980" i="2"/>
  <c r="N981" i="2" a="1"/>
  <c r="N981" i="2" s="1"/>
  <c r="N982" i="2" a="1"/>
  <c r="N982" i="2"/>
  <c r="N983" i="2" a="1"/>
  <c r="N983" i="2" s="1"/>
  <c r="N984" i="2" a="1"/>
  <c r="N984" i="2"/>
  <c r="N985" i="2" a="1"/>
  <c r="N985" i="2" s="1"/>
  <c r="N986" i="2" a="1"/>
  <c r="N986" i="2"/>
  <c r="N987" i="2" a="1"/>
  <c r="N987" i="2" s="1"/>
  <c r="N988" i="2" a="1"/>
  <c r="N988" i="2"/>
  <c r="N989" i="2" a="1"/>
  <c r="N989" i="2" s="1"/>
  <c r="N990" i="2" a="1"/>
  <c r="N990" i="2"/>
  <c r="N991" i="2" a="1"/>
  <c r="N991" i="2" s="1"/>
  <c r="N992" i="2" a="1"/>
  <c r="N992" i="2"/>
  <c r="N993" i="2" a="1"/>
  <c r="N993" i="2" s="1"/>
  <c r="N994" i="2" a="1"/>
  <c r="N994" i="2"/>
  <c r="N995" i="2" a="1"/>
  <c r="N995" i="2" s="1"/>
  <c r="N996" i="2" a="1"/>
  <c r="N996" i="2"/>
  <c r="N997" i="2" a="1"/>
  <c r="N997" i="2" s="1"/>
  <c r="N998" i="2" a="1"/>
  <c r="N998" i="2"/>
  <c r="N999" i="2" a="1"/>
  <c r="N999" i="2" s="1"/>
  <c r="N1000" i="2" a="1"/>
  <c r="N1000" i="2"/>
  <c r="N1001" i="2" a="1"/>
  <c r="N1001" i="2" s="1"/>
  <c r="N2" i="2" a="1"/>
  <c r="N2" i="2" s="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2" i="2"/>
  <c r="I50" i="5" l="1"/>
  <c r="J51" i="5"/>
  <c r="I49" i="5"/>
  <c r="J50" i="5"/>
  <c r="I47" i="5"/>
  <c r="I48" i="5"/>
  <c r="J49" i="5"/>
  <c r="I51" i="5"/>
  <c r="J4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B1F235-55C2-4D1D-B70B-81168FCE7270}"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D8AF5BF2-4823-432B-9A8A-2719E2346C2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3DF564F-A761-4623-B4BF-DEE53D91ECC1}" name="WorksheetConnection_Book1!calls" type="102" refreshedVersion="8" minRefreshableVersion="5">
    <extLst>
      <ext xmlns:x15="http://schemas.microsoft.com/office/spreadsheetml/2010/11/main" uri="{DE250136-89BD-433C-8126-D09CA5730AF9}">
        <x15:connection id="calls" autoDelete="1">
          <x15:rangePr sourceName="_xlcn.WorksheetConnection_Book1calls1"/>
        </x15:connection>
      </ext>
    </extLst>
  </connection>
  <connection id="4" xr16:uid="{B6933C3F-24BD-46AA-97B5-5F50F5CBC34F}" name="WorksheetConnection_Book1!customer" type="102" refreshedVersion="8" minRefreshableVersion="5">
    <extLst>
      <ext xmlns:x15="http://schemas.microsoft.com/office/spreadsheetml/2010/11/main" uri="{DE250136-89BD-433C-8126-D09CA5730AF9}">
        <x15:connection id="customer">
          <x15:rangePr sourceName="_xlcn.WorksheetConnection_Book1customer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<sst xmlns="http://schemas.openxmlformats.org/spreadsheetml/2006/main" count="3222" uniqueCount="1072">
  <si>
    <t>Call number</t>
  </si>
  <si>
    <t>Customer ID</t>
  </si>
  <si>
    <t>Duration</t>
  </si>
  <si>
    <t>Representative</t>
  </si>
  <si>
    <t>Date of Call</t>
  </si>
  <si>
    <t>Purchase Amount</t>
  </si>
  <si>
    <t>Satisfaction Rating</t>
  </si>
  <si>
    <t>Customer ID_1</t>
  </si>
  <si>
    <t>Gedner</t>
  </si>
  <si>
    <t>Age</t>
  </si>
  <si>
    <t>City</t>
  </si>
  <si>
    <t>Call_7271</t>
  </si>
  <si>
    <t>C0003</t>
  </si>
  <si>
    <t>R05</t>
  </si>
  <si>
    <t>C0001</t>
  </si>
  <si>
    <t>Male</t>
  </si>
  <si>
    <t>Columbus</t>
  </si>
  <si>
    <t>Call_7272</t>
  </si>
  <si>
    <t>C0004</t>
  </si>
  <si>
    <t>C0002</t>
  </si>
  <si>
    <t>Cleveland</t>
  </si>
  <si>
    <t>Call_7273</t>
  </si>
  <si>
    <t>C0005</t>
  </si>
  <si>
    <t>R02</t>
  </si>
  <si>
    <t>Cincinnati</t>
  </si>
  <si>
    <t>Call_7274</t>
  </si>
  <si>
    <t>C0014</t>
  </si>
  <si>
    <t>Call_7275</t>
  </si>
  <si>
    <t>C0011</t>
  </si>
  <si>
    <t>R01</t>
  </si>
  <si>
    <t>Call_7276</t>
  </si>
  <si>
    <t>C0006</t>
  </si>
  <si>
    <t>Call_7277</t>
  </si>
  <si>
    <t>C0007</t>
  </si>
  <si>
    <t>Female</t>
  </si>
  <si>
    <t>Call_7278</t>
  </si>
  <si>
    <t>R04</t>
  </si>
  <si>
    <t>C0008</t>
  </si>
  <si>
    <t>Call_7279</t>
  </si>
  <si>
    <t>C0009</t>
  </si>
  <si>
    <t>Call_7280</t>
  </si>
  <si>
    <t>C0010</t>
  </si>
  <si>
    <t>R03</t>
  </si>
  <si>
    <t>Call_7281</t>
  </si>
  <si>
    <t>Call_7282</t>
  </si>
  <si>
    <t>C0013</t>
  </si>
  <si>
    <t>C0012</t>
  </si>
  <si>
    <t>Call_7283</t>
  </si>
  <si>
    <t>Call_7284</t>
  </si>
  <si>
    <t>Call_7285</t>
  </si>
  <si>
    <t>C0015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</si>
  <si>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</si>
  <si>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</si>
  <si>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</si>
  <si>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</si>
  <si>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</si>
  <si>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</si>
  <si>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</si>
  <si>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</si>
  <si>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</si>
  <si>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</si>
  <si>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</si>
  <si>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</si>
  <si>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</si>
  <si>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</si>
  <si>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</si>
  <si>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</si>
  <si>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</si>
  <si>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</si>
  <si>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</si>
  <si>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</si>
  <si>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</si>
  <si>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</si>
  <si>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</si>
  <si>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</si>
  <si>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</si>
  <si>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</si>
  <si>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</si>
  <si>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</si>
  <si>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</si>
  <si>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</si>
  <si>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</si>
  <si>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</si>
  <si>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</si>
  <si>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</si>
  <si>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</si>
  <si>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</si>
  <si>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</si>
  <si>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</si>
  <si>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</si>
  <si>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</si>
  <si>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</si>
  <si>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</si>
  <si>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</si>
  <si>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</si>
  <si>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</si>
  <si>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</si>
  <si>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</si>
  <si>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</si>
  <si>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</si>
  <si>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</si>
  <si>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</si>
  <si>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</si>
  <si>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</si>
  <si>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</si>
  <si>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</si>
  <si>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</si>
  <si>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</si>
  <si>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</si>
  <si>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</si>
  <si>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</si>
  <si>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</si>
  <si>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</si>
  <si>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</si>
  <si>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</si>
  <si>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</si>
  <si>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</si>
  <si>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</si>
  <si>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</si>
  <si>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</si>
  <si>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</si>
  <si>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</si>
  <si>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</si>
  <si>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</si>
  <si>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</si>
  <si>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</si>
  <si>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</si>
  <si>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</si>
  <si>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</si>
  <si>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</si>
  <si>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</si>
  <si>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</si>
  <si>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</si>
  <si>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</si>
  <si>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</si>
  <si>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</si>
  <si>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</si>
  <si>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</si>
  <si>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</si>
  <si>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</si>
  <si>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</si>
  <si>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</si>
  <si>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</si>
  <si>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</si>
  <si>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</si>
  <si>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</si>
  <si>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</si>
  <si>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</si>
  <si>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</si>
  <si>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</si>
  <si>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</si>
  <si>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</si>
  <si>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</si>
  <si>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</si>
  <si>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</si>
  <si>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</si>
  <si>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</si>
  <si>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</si>
  <si>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</si>
  <si>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</si>
  <si>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</si>
  <si>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</si>
  <si>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</si>
  <si>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</si>
  <si>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</si>
  <si>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</si>
  <si>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</si>
  <si>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</si>
  <si>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</si>
  <si>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</si>
  <si>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</si>
  <si>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</si>
  <si>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</si>
  <si>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</si>
  <si>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</si>
  <si>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</si>
  <si>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</si>
  <si>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</si>
  <si>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</si>
  <si>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</si>
  <si>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</si>
  <si>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</si>
  <si>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</si>
  <si>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</si>
  <si>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</si>
  <si>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</si>
  <si>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</si>
  <si>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</si>
  <si>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</si>
  <si>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</si>
  <si>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</si>
  <si>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</si>
  <si>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</si>
  <si>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</si>
  <si>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</si>
  <si>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</si>
  <si>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</si>
  <si>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</si>
  <si>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</si>
  <si>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</si>
  <si>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</si>
  <si>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</si>
  <si>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</si>
  <si>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</si>
  <si>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</si>
  <si>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</si>
  <si>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</si>
  <si>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</si>
  <si>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</si>
  <si>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</si>
  <si>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</si>
  <si>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</si>
  <si>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</si>
  <si>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</si>
  <si>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</si>
  <si>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</si>
  <si>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</si>
  <si>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</si>
  <si>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</si>
  <si>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</si>
  <si>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</si>
  <si>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</si>
  <si>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</si>
  <si>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</si>
  <si>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</si>
  <si>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</si>
  <si>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</si>
  <si>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</si>
  <si>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</si>
  <si>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</si>
  <si>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</si>
  <si>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</si>
  <si>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</si>
  <si>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</si>
  <si>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</si>
  <si>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</si>
  <si>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</si>
  <si>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</si>
  <si>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</si>
  <si>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</si>
  <si>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</si>
  <si>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</si>
  <si>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</si>
  <si>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</si>
  <si>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</si>
  <si>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</si>
  <si>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</si>
  <si>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</si>
  <si>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</si>
  <si>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</si>
  <si>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</si>
  <si>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</si>
  <si>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</si>
  <si>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</si>
  <si>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</si>
  <si>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</si>
  <si>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</si>
  <si>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</si>
  <si>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</si>
  <si>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</si>
  <si>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</si>
  <si>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</si>
  <si>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</si>
  <si>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</si>
  <si>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</si>
  <si>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</si>
  <si>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</si>
  <si>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</si>
  <si>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</si>
  <si>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</si>
  <si>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</si>
  <si>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</si>
  <si>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</si>
  <si>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</si>
  <si>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</si>
  <si>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</si>
  <si>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</si>
  <si>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</si>
  <si>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</si>
  <si>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</si>
  <si>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</si>
  <si>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</si>
  <si>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</si>
  <si>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</si>
  <si>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</si>
  <si>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</si>
  <si>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</si>
  <si>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</si>
  <si>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</si>
  <si>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</si>
  <si>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</si>
  <si>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</si>
  <si>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</si>
  <si>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</si>
  <si>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</si>
  <si>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</si>
  <si>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</si>
  <si>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</si>
  <si>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</si>
  <si>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</si>
  <si>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</si>
  <si>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</si>
  <si>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</si>
  <si>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</si>
  <si>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</si>
  <si>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</si>
  <si>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</si>
  <si>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</si>
  <si>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</si>
  <si>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</si>
  <si>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</si>
  <si>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</si>
  <si>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</si>
  <si>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</si>
  <si>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</si>
  <si>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</si>
  <si>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</si>
  <si>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</si>
  <si>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</si>
  <si>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</si>
  <si>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</si>
  <si>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</si>
  <si>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</si>
  <si>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</si>
  <si>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</si>
  <si>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</si>
  <si>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</si>
  <si>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</si>
  <si>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</si>
  <si>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</si>
  <si>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</si>
  <si>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</si>
  <si>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</si>
  <si>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</si>
  <si>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</si>
  <si>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</si>
  <si>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</si>
  <si>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</si>
  <si>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</si>
  <si>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</si>
  <si>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</si>
  <si>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</si>
  <si>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</si>
  <si>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</si>
  <si>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</si>
  <si>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</si>
  <si>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</si>
  <si>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</si>
  <si>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</si>
  <si>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</si>
  <si>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</si>
  <si>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</si>
  <si>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</si>
  <si>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</si>
  <si>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</si>
  <si>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</si>
  <si>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</si>
  <si>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</si>
  <si>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</si>
  <si>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</si>
  <si>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</si>
  <si>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</si>
  <si>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</si>
  <si>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</si>
  <si>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</si>
  <si>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</si>
  <si>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</si>
  <si>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</si>
  <si>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</si>
  <si>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</si>
  <si>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</si>
  <si>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</si>
  <si>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</si>
  <si>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</si>
  <si>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</si>
  <si>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</si>
  <si>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</si>
  <si>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</si>
  <si>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</si>
  <si>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</si>
  <si>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</si>
  <si>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</si>
  <si>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</si>
  <si>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</si>
  <si>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</si>
  <si>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</si>
  <si>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</si>
  <si>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</si>
  <si>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</si>
  <si>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</si>
  <si>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</si>
  <si>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</si>
  <si>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</si>
  <si>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</si>
  <si>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</si>
  <si>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</si>
  <si>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</si>
  <si>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</si>
  <si>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</si>
  <si>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</si>
  <si>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</si>
  <si>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</si>
  <si>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</si>
  <si>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</si>
  <si>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</si>
  <si>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</si>
  <si>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</si>
  <si>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</si>
  <si>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</si>
  <si>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</si>
  <si>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</si>
  <si>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</si>
  <si>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</si>
  <si>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</si>
  <si>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</si>
  <si>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</si>
  <si>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</si>
  <si>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</si>
  <si>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</si>
  <si>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</si>
  <si>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</si>
  <si>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</si>
  <si>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</si>
  <si>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</si>
  <si>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</si>
  <si>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</si>
  <si>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</si>
  <si>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</si>
  <si>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</si>
  <si>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</si>
  <si>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</si>
  <si>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</si>
  <si>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</si>
  <si>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</si>
  <si>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</si>
  <si>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</si>
  <si>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</si>
  <si>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</si>
  <si>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</si>
  <si>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</si>
  <si>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</si>
  <si>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</si>
  <si>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</si>
  <si>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</si>
  <si>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</si>
  <si>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</si>
  <si>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</si>
  <si>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</si>
  <si>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</si>
  <si>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</si>
  <si>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</si>
  <si>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</si>
  <si>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</si>
  <si>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</si>
  <si>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</si>
  <si>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</si>
  <si>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</si>
  <si>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</si>
  <si>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</si>
  <si>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</si>
  <si>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</si>
  <si>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</si>
  <si>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</si>
  <si>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</si>
  <si>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</si>
  <si>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</si>
  <si>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</si>
  <si>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</si>
  <si>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</si>
  <si>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</si>
  <si>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</si>
  <si>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</si>
  <si>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</si>
  <si>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</si>
  <si>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</si>
  <si>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</si>
  <si>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</si>
  <si>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</si>
  <si>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</si>
  <si>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</si>
  <si>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</si>
  <si>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</si>
  <si>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</si>
  <si>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</si>
  <si>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</si>
  <si>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</si>
  <si>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</si>
  <si>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</si>
  <si>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</si>
  <si>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</si>
  <si>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</si>
  <si>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</si>
  <si>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</si>
  <si>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</si>
  <si>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</si>
  <si>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</si>
  <si>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</si>
  <si>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</si>
  <si>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</si>
  <si>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</si>
  <si>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</si>
  <si>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</si>
  <si>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</si>
  <si>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</si>
  <si>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</si>
  <si>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</si>
  <si>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</si>
  <si>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</si>
  <si>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</si>
  <si>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</si>
  <si>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</si>
  <si>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</si>
  <si>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</si>
  <si>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</si>
  <si>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</si>
  <si>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</si>
  <si>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</si>
  <si>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</si>
  <si>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</si>
  <si>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</si>
  <si>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</si>
  <si>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</si>
  <si>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</si>
  <si>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</si>
  <si>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</si>
  <si>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</si>
  <si>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</si>
  <si>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</si>
  <si>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</si>
  <si>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</si>
  <si>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</si>
  <si>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</si>
  <si>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</si>
  <si>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</si>
  <si>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</si>
  <si>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</si>
  <si>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</si>
  <si>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</si>
  <si>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</si>
  <si>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</si>
  <si>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</si>
  <si>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</si>
  <si>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</si>
  <si>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</si>
  <si>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</si>
  <si>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</si>
  <si>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</si>
  <si>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</si>
  <si>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</si>
  <si>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</si>
  <si>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</si>
  <si>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</si>
  <si>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</si>
  <si>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</si>
  <si>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</si>
  <si>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</si>
  <si>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</si>
  <si>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</si>
  <si>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</si>
  <si>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</si>
  <si>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</si>
  <si>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</si>
  <si>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</si>
  <si>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</si>
  <si>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</si>
  <si>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</si>
  <si>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</si>
  <si>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</si>
  <si>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</si>
  <si>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</si>
  <si>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</si>
  <si>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</si>
  <si>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</si>
  <si>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</si>
  <si>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</si>
  <si>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</si>
  <si>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</si>
  <si>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</si>
  <si>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</si>
  <si>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</si>
  <si>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</si>
  <si>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</si>
  <si>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</si>
  <si>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</si>
  <si>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</si>
  <si>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</si>
  <si>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</si>
  <si>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</si>
  <si>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</si>
  <si>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</si>
  <si>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</si>
  <si>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</si>
  <si>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</si>
  <si>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</si>
  <si>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</si>
  <si>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</si>
  <si>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</si>
  <si>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</si>
  <si>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</si>
  <si>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</si>
  <si>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</si>
  <si>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</si>
  <si>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</si>
  <si>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</si>
  <si>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</si>
  <si>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</si>
  <si>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</si>
  <si>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</si>
  <si>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</si>
  <si>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</si>
  <si>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</si>
  <si>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</si>
  <si>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</si>
  <si>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</si>
  <si>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</si>
  <si>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</si>
  <si>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</si>
  <si>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</si>
  <si>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</si>
  <si>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</si>
  <si>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</si>
  <si>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</si>
  <si>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</si>
  <si>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</si>
  <si>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</si>
  <si>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</si>
  <si>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</si>
  <si>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</si>
  <si>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</si>
  <si>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</si>
  <si>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</si>
  <si>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</si>
  <si>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</si>
  <si>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</si>
  <si>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</si>
  <si>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</si>
  <si>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</si>
  <si>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</si>
  <si>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</si>
  <si>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</si>
  <si>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</si>
  <si>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</si>
  <si>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</si>
  <si>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</si>
  <si>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</si>
  <si>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</si>
  <si>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</si>
  <si>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</si>
  <si>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</si>
  <si>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</si>
  <si>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</si>
  <si>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</si>
  <si>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</si>
  <si>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</si>
  <si>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</si>
  <si>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</si>
  <si>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</si>
  <si>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</si>
  <si>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</si>
  <si>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</si>
  <si>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</si>
  <si>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</si>
  <si>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</si>
  <si>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</si>
  <si>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</si>
  <si>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</si>
  <si>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</si>
  <si>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</si>
  <si>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</si>
  <si>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</si>
  <si>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</si>
  <si>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</si>
  <si>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</si>
  <si>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</si>
  <si>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</si>
  <si>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</si>
  <si>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</si>
  <si>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</si>
  <si>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</si>
  <si>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</si>
  <si>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</si>
  <si>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</si>
  <si>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</si>
  <si>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</si>
  <si>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</si>
  <si>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</si>
  <si>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</si>
  <si>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</si>
  <si>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</si>
  <si>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</si>
  <si>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</si>
  <si>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</si>
  <si>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</si>
  <si>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</si>
  <si>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</si>
  <si>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</si>
  <si>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</si>
  <si>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</si>
  <si>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</si>
  <si>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</si>
  <si>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</si>
  <si>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</si>
  <si>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</si>
  <si>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</si>
  <si>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</si>
  <si>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</si>
  <si>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</si>
  <si>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</si>
  <si>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</si>
  <si>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</si>
  <si>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</si>
  <si>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</si>
  <si>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</si>
  <si>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</si>
  <si>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</si>
  <si>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</si>
  <si>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</si>
  <si>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</si>
  <si>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</si>
  <si>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</si>
  <si>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</si>
  <si>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</si>
  <si>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</si>
  <si>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</si>
  <si>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</si>
  <si>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</si>
  <si>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</si>
  <si>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</si>
  <si>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</si>
  <si>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</si>
  <si>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</si>
  <si>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</si>
  <si>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</si>
  <si>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</si>
  <si>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</si>
  <si>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</si>
  <si>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</si>
  <si>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</si>
  <si>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</si>
  <si>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</si>
  <si>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</si>
  <si>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</si>
  <si>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</si>
  <si>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</si>
  <si>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</si>
  <si>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</si>
  <si>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</si>
  <si>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</si>
  <si>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</si>
  <si>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</si>
  <si>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</si>
  <si>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</si>
  <si>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</si>
  <si>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</si>
  <si>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</si>
  <si>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</si>
  <si>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</si>
  <si>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</si>
  <si>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</si>
  <si>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</si>
  <si>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</si>
  <si>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</si>
  <si>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</si>
  <si>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</si>
  <si>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</si>
  <si>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</si>
  <si>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</si>
  <si>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</si>
  <si>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</si>
  <si>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</si>
  <si>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</si>
  <si>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</si>
  <si>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</si>
  <si>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</si>
  <si>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</si>
  <si>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</si>
  <si>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</si>
  <si>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</si>
  <si>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</si>
  <si>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</si>
  <si>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</si>
  <si>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</si>
  <si>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</si>
  <si>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</si>
  <si>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</si>
  <si>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</si>
  <si>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</si>
  <si>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</si>
  <si>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</si>
  <si>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</si>
  <si>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</si>
  <si>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</si>
  <si>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</si>
  <si>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</si>
  <si>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</si>
  <si>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</si>
  <si>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</si>
  <si>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</si>
  <si>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</si>
  <si>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</si>
  <si>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</si>
  <si>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</si>
  <si>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</si>
  <si>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</si>
  <si>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</si>
  <si>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</si>
  <si>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</si>
  <si>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</si>
  <si>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</si>
  <si>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</si>
  <si>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</si>
  <si>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</si>
  <si>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</si>
  <si>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</si>
  <si>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</si>
  <si>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</si>
  <si>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</si>
  <si>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</si>
  <si>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</si>
  <si>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</si>
  <si>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</si>
  <si>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</si>
  <si>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</si>
  <si>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</si>
  <si>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</si>
  <si>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</si>
  <si>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</si>
  <si>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</si>
  <si>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</si>
  <si>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</si>
  <si>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</si>
  <si>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</si>
  <si>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</si>
  <si>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</si>
  <si>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</si>
  <si>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</si>
  <si>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</si>
  <si>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</si>
  <si>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</si>
  <si>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</si>
  <si>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</si>
  <si>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</si>
  <si>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</si>
  <si>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</si>
  <si>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</si>
  <si>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</si>
  <si>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</si>
  <si>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</si>
  <si>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</si>
  <si>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</si>
  <si>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</si>
  <si>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</si>
  <si>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</si>
  <si>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</si>
  <si>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</si>
  <si>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</si>
  <si>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</si>
  <si>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</si>
  <si>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</si>
  <si>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</si>
  <si>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</si>
  <si>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</si>
  <si>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</si>
  <si>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</si>
  <si>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</si>
  <si>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</si>
  <si>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</si>
  <si>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</si>
  <si>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</si>
  <si>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</si>
  <si>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</si>
  <si>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</si>
  <si>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</si>
  <si>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</si>
  <si>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</si>
  <si>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</si>
  <si>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</si>
  <si>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</si>
  <si>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</si>
  <si>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</si>
  <si>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</si>
  <si>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</si>
  <si>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</si>
  <si>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</si>
  <si>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</si>
  <si>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</si>
  <si>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</si>
  <si>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</si>
  <si>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</si>
  <si>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</si>
  <si>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</si>
  <si>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</si>
  <si>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</si>
  <si>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</si>
  <si>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</si>
  <si>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</si>
  <si>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</si>
  <si>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</si>
  <si>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</si>
  <si>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</si>
  <si>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</si>
  <si>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</si>
  <si>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</si>
  <si>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</si>
  <si>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</si>
  <si>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</si>
  <si>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</si>
  <si>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</si>
  <si>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</si>
  <si>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</si>
  <si>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</si>
  <si>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</si>
  <si>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</si>
  <si>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</si>
  <si>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</si>
  <si>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</si>
  <si>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</si>
  <si>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</si>
  <si>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</si>
  <si>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</si>
  <si>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</si>
  <si>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</si>
  <si>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</si>
  <si>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</si>
  <si>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</si>
  <si>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</si>
  <si>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</si>
  <si>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</si>
  <si>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</si>
  <si>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</si>
  <si>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</si>
  <si>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</si>
  <si>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</si>
  <si>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</si>
  <si>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</si>
  <si>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</si>
  <si>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</si>
  <si>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</si>
  <si>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</si>
  <si>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</si>
  <si>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</si>
  <si>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</si>
  <si>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</si>
  <si>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</si>
  <si>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</si>
  <si>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</si>
  <si>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</si>
  <si>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</si>
  <si>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</si>
  <si>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</si>
  <si>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</si>
  <si>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</si>
  <si>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</si>
  <si>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</si>
  <si>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</si>
  <si>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</si>
  <si>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</si>
  <si>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</si>
  <si>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</si>
  <si>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</si>
  <si>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</si>
  <si>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</si>
  <si>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</si>
  <si>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</si>
  <si>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</si>
  <si>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</si>
  <si>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</si>
  <si>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</si>
  <si>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</si>
  <si>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</si>
  <si>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</si>
  <si>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</si>
  <si>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</si>
  <si>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</si>
  <si>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</si>
  <si>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</si>
  <si>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</si>
  <si>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</si>
  <si>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</si>
  <si>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</si>
  <si>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</si>
  <si>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</si>
  <si>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</si>
  <si>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</si>
  <si>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</si>
  <si>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</si>
  <si>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</si>
  <si>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</si>
  <si>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</si>
  <si>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</si>
  <si>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</si>
  <si>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</si>
  <si>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</si>
  <si>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</si>
  <si>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</si>
  <si>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</si>
  <si>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</si>
  <si>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</si>
  <si>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</si>
  <si>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</si>
  <si>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</si>
  <si>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</si>
  <si>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</si>
  <si>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</si>
  <si>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</si>
  <si>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</si>
  <si>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</si>
  <si>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</si>
  <si>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</si>
  <si>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</si>
  <si>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</si>
  <si>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</si>
  <si>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</si>
  <si>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</si>
  <si>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</si>
  <si>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</si>
  <si>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</si>
  <si>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</si>
  <si>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</si>
  <si>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</si>
  <si>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</si>
  <si>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</si>
  <si>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</si>
  <si>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</si>
  <si>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</si>
  <si>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</si>
  <si>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</si>
  <si>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</si>
  <si>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</si>
  <si>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</si>
  <si>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</si>
  <si>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</si>
  <si>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</si>
  <si>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</si>
  <si>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</si>
  <si>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</si>
  <si>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Column1</t>
  </si>
  <si>
    <t>DAYS</t>
  </si>
  <si>
    <t>ROUND</t>
  </si>
  <si>
    <t>DURATION BUCKET</t>
  </si>
  <si>
    <t>TOTAL CALLS</t>
  </si>
  <si>
    <t>CALL DURATION</t>
  </si>
  <si>
    <t>TOTAL AMOUNT</t>
  </si>
  <si>
    <t>AVG.RATING</t>
  </si>
  <si>
    <t>5*CALL</t>
  </si>
  <si>
    <t>Grand Total</t>
  </si>
  <si>
    <t>Jan</t>
  </si>
  <si>
    <t>Feb</t>
  </si>
  <si>
    <t>Mar</t>
  </si>
  <si>
    <t>Apr</t>
  </si>
  <si>
    <t>May</t>
  </si>
  <si>
    <t>Jun</t>
  </si>
  <si>
    <t>Jul</t>
  </si>
  <si>
    <t>Aug</t>
  </si>
  <si>
    <t>Sep</t>
  </si>
  <si>
    <t>Oct</t>
  </si>
  <si>
    <t>Nov</t>
  </si>
  <si>
    <t>Dec</t>
  </si>
  <si>
    <t>TOTAL CALLS2</t>
  </si>
  <si>
    <t>Row Labels</t>
  </si>
  <si>
    <t>Friday</t>
  </si>
  <si>
    <t>Monday</t>
  </si>
  <si>
    <t>Saturday</t>
  </si>
  <si>
    <t>Sunday</t>
  </si>
  <si>
    <t>Thursday</t>
  </si>
  <si>
    <t>Tuesday</t>
  </si>
  <si>
    <t>Wednesday</t>
  </si>
  <si>
    <t>SEL.CALLS</t>
  </si>
  <si>
    <t>SEL.AMOUNT</t>
  </si>
  <si>
    <t>select</t>
  </si>
  <si>
    <t>Column Labels</t>
  </si>
  <si>
    <t>total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</si>
</sst>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quot;₹&quot;\ #,##0;[Red]&quot;₹&quot;\ #,##0"/>
  </numFmts>
  <fonts count="4" x14ac:knownFonts="1">
    <font>
      <sz val="11"/>
      <color theme="1"/>
      <name val="Calibri"/>
      <family val="2"/>
      <scheme val="minor"/>
    </font>
    <font>
      <b/>
      <sz val="11"/>
      <color theme="0"/>
      <name val="Calibri"/>
      <family val="2"/>
      <scheme val="minor"/>
    </font>
    <font>
      <sz val="8"/>
      <name val="Calibri"/>
      <family val="2"/>
      <scheme val="minor"/>
    </font>
    <font>
      <b/>
      <sz val="11"/>
      <color theme="1"/>
      <name val="Calibri"/>
      <family val="2"/>
      <scheme val="minor"/>
    </font>
  </fonts>
  <fills count="6">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0" tint="-0.14999847407452621"/>
        <bgColor indexed="64"/>
      </patternFill>
    </fill>
    <fill>
      <patternFill patternType="solid">
        <fgColor theme="4" tint="0.79998168889431442"/>
        <bgColor theme="4" tint="0.79998168889431442"/>
      </patternFill>
    </fill>
  </fills>
  <borders count="5">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
      <left/>
      <right/>
      <top/>
      <bottom style="thin">
        <color theme="4" tint="0.39997558519241921"/>
      </bottom>
      <diagonal/>
    </border>
  </borders>
  <cellStyleXfs count="1">
    <xf numFmtId="0" fontId="0" fillId="0" borderId="0"/>
  </cellStyleXfs>
  <cellXfs count="16">
    <xf numFmtId="0" fontId="0" fillId="0" borderId="0" xfId="0"/>
    <xf numFmtId="14" fontId="0" fillId="0" borderId="0" xfId="0" applyNumberFormat="1"/>
    <xf numFmtId="0" fontId="0" fillId="3" borderId="1" xfId="0" applyFill="1" applyBorder="1"/>
    <xf numFmtId="0" fontId="0" fillId="0" borderId="1" xfId="0" applyBorder="1"/>
    <xf numFmtId="0" fontId="1" fillId="2" borderId="2" xfId="0" applyFont="1" applyFill="1" applyBorder="1"/>
    <xf numFmtId="0" fontId="0" fillId="3" borderId="3" xfId="0" applyFill="1" applyBorder="1"/>
    <xf numFmtId="0" fontId="0" fillId="4" borderId="0" xfId="0" applyFill="1"/>
    <xf numFmtId="164" fontId="0" fillId="0" borderId="0" xfId="0" applyNumberFormat="1"/>
    <xf numFmtId="0" fontId="0" fillId="0" borderId="0" xfId="0" pivotButton="1"/>
    <xf numFmtId="0" fontId="0" fillId="0" borderId="0" xfId="0" applyAlignment="1">
      <alignment horizontal="left"/>
    </xf>
    <xf numFmtId="165" fontId="0" fillId="0" borderId="0" xfId="0" applyNumberFormat="1"/>
    <xf numFmtId="0" fontId="3" fillId="5" borderId="4" xfId="0" applyFont="1" applyFill="1" applyBorder="1"/>
    <xf numFmtId="0" fontId="0" fillId="0" borderId="0" xfId="0" applyAlignment="1">
      <alignment horizontal="left" indent="1"/>
    </xf>
    <xf numFmtId="0" fontId="3" fillId="0" borderId="4" xfId="0" applyFont="1" applyBorder="1" applyAlignment="1">
      <alignment horizontal="left"/>
    </xf>
    <xf numFmtId="0" fontId="3" fillId="0" borderId="4" xfId="0" applyFont="1" applyBorder="1"/>
    <xf numFmtId="0" fontId="0" fillId="0" borderId="0" xfId="0" applyNumberFormat="1"/>
  </cellXfs>
  <cellStyles count="1">
    <cellStyle name="Normal" xfId="0" builtinId="0"/>
  </cellStyles>
  <dxfs count="21">
    <dxf>
      <fill>
        <patternFill>
          <bgColor rgb="FFB07BD7"/>
        </patternFill>
      </fill>
      <border>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top style="thin">
          <color theme="9" tint="0.39997558519241921"/>
        </top>
        <bottom style="thin">
          <color theme="9" tint="0.39997558519241921"/>
        </bottom>
      </border>
    </dxf>
    <dxf>
      <font>
        <b val="0"/>
        <i val="0"/>
        <strike val="0"/>
        <condense val="0"/>
        <extend val="0"/>
        <outline val="0"/>
        <shadow val="0"/>
        <u val="none"/>
        <vertAlign val="baseline"/>
        <sz val="11"/>
        <color theme="1"/>
        <name val="Calibri"/>
        <family val="2"/>
        <scheme val="minor"/>
      </font>
      <fill>
        <patternFill patternType="solid">
          <fgColor theme="9" tint="0.79998168889431442"/>
          <bgColor theme="9" tint="0.79998168889431442"/>
        </patternFill>
      </fill>
    </dxf>
    <dxf>
      <border outline="0">
        <bottom style="thin">
          <color theme="9" tint="0.39997558519241921"/>
        </bottom>
      </border>
    </dxf>
    <dxf>
      <font>
        <b/>
        <i val="0"/>
        <strike val="0"/>
        <condense val="0"/>
        <extend val="0"/>
        <outline val="0"/>
        <shadow val="0"/>
        <u val="none"/>
        <vertAlign val="baseline"/>
        <sz val="11"/>
        <color theme="0"/>
        <name val="Calibri"/>
        <family val="2"/>
        <scheme val="minor"/>
      </font>
      <fill>
        <patternFill patternType="solid">
          <fgColor theme="9"/>
          <bgColor theme="9"/>
        </patternFill>
      </fil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s>
  <tableStyles count="4" defaultTableStyle="TableStyleMedium2" defaultPivotStyle="PivotStyleLight16">
    <tableStyle name="Slicer Style 1" pivot="0" table="0" count="0" xr9:uid="{32CF0F19-56C1-453F-958D-3C2B6445354A}"/>
    <tableStyle name="Slicer Style 1 2" pivot="0" table="0" count="2" xr9:uid="{3D6D6F89-E883-4AAE-8E92-E55AF21C123C}"/>
    <tableStyle name="SlicerStyleLight1 2" pivot="0" table="0" count="10" xr9:uid="{C97E1156-71C1-4791-8F04-9DDF417D1B68}">
      <tableStyleElement type="wholeTable" dxfId="20"/>
      <tableStyleElement type="headerRow" dxfId="19"/>
    </tableStyle>
    <tableStyle name="SlicerStyleLight1 2 2" pivot="0" table="0" count="10" xr9:uid="{C62DA464-00E3-4000-9866-FDF896250098}">
      <tableStyleElement type="wholeTable" dxfId="18"/>
      <tableStyleElement type="headerRow" dxfId="17"/>
    </tableStyle>
  </tableStyles>
  <colors>
    <mruColors>
      <color rgb="FFFB2525"/>
      <color rgb="FF990099"/>
      <color rgb="FFB07BD7"/>
      <color rgb="FF8F68A0"/>
      <color rgb="FF2FD964"/>
    </mruColors>
  </colors>
  <extLst>
    <ext xmlns:x14="http://schemas.microsoft.com/office/spreadsheetml/2009/9/main" uri="{46F421CA-312F-682f-3DD2-61675219B42D}">
      <x14:dxfs count="1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7030A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rgb="FF7030A0"/>
            </patternFill>
          </fill>
        </dxf>
        <dxf>
          <fill>
            <patternFill>
              <bgColor theme="0" tint="-4.9989318521683403E-2"/>
            </patternFill>
          </fill>
        </dxf>
      </x14:dxfs>
    </ext>
    <ext xmlns:x14="http://schemas.microsoft.com/office/spreadsheetml/2009/9/main" uri="{EB79DEF2-80B8-43e5-95BD-54CBDDF9020C}">
      <x14:slicerStyles defaultSlicerStyle="SlicerStyleLight1">
        <x14:slicerStyle name="Slicer Style 1"/>
        <x14:slicerStyle name="Slicer Style 1 2">
          <x14:slicerStyleElements>
            <x14:slicerStyleElement type="unselectedItemWithData" dxfId="17"/>
            <x14:slicerStyleElement type="selectedItemWithNoData" dxfId="16"/>
          </x14:slicerStyleElements>
        </x14:slicerStyle>
        <x14:slicerStyle name="SlicerStyleLight1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openxmlformats.org/officeDocument/2006/relationships/theme" Target="theme/theme1.xml"/><Relationship Id="rId10" Type="http://schemas.openxmlformats.org/officeDocument/2006/relationships/pivotCacheDefinition" Target="pivotCache/pivotCacheDefinition7.xml"/><Relationship Id="rId19" Type="http://schemas.openxmlformats.org/officeDocument/2006/relationships/sheetMetadata" Target="metadata.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1.xml"/><Relationship Id="rId22"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 tabel!PivotTable4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F68A0"/>
          </a:solidFill>
          <a:ln>
            <a:noFill/>
          </a:ln>
          <a:effectLst/>
        </c:spPr>
        <c:marker>
          <c:symbol val="none"/>
        </c:marker>
        <c:dLbl>
          <c:idx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tabel'!$C$35</c:f>
              <c:strCache>
                <c:ptCount val="1"/>
                <c:pt idx="0">
                  <c:v>Total</c:v>
                </c:pt>
              </c:strCache>
            </c:strRef>
          </c:tx>
          <c:spPr>
            <a:solidFill>
              <a:srgbClr val="8F68A0"/>
            </a:soli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tabel'!$B$36:$B$43</c:f>
              <c:strCache>
                <c:ptCount val="7"/>
                <c:pt idx="0">
                  <c:v>Sunday</c:v>
                </c:pt>
                <c:pt idx="1">
                  <c:v>Monday</c:v>
                </c:pt>
                <c:pt idx="2">
                  <c:v>Tuesday</c:v>
                </c:pt>
                <c:pt idx="3">
                  <c:v>Wednesday</c:v>
                </c:pt>
                <c:pt idx="4">
                  <c:v>Thursday</c:v>
                </c:pt>
                <c:pt idx="5">
                  <c:v>Friday</c:v>
                </c:pt>
                <c:pt idx="6">
                  <c:v>Saturday</c:v>
                </c:pt>
              </c:strCache>
            </c:strRef>
          </c:cat>
          <c:val>
            <c:numRef>
              <c:f>'pivot tabel'!$C$36:$C$43</c:f>
              <c:numCache>
                <c:formatCode>General</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0106-4FDB-B59F-B9AE0CF36886}"/>
            </c:ext>
          </c:extLst>
        </c:ser>
        <c:dLbls>
          <c:dLblPos val="outEnd"/>
          <c:showLegendKey val="0"/>
          <c:showVal val="1"/>
          <c:showCatName val="0"/>
          <c:showSerName val="0"/>
          <c:showPercent val="0"/>
          <c:showBubbleSize val="0"/>
        </c:dLbls>
        <c:gapWidth val="25"/>
        <c:axId val="186502863"/>
        <c:axId val="186493263"/>
      </c:barChart>
      <c:catAx>
        <c:axId val="1865028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493263"/>
        <c:crosses val="autoZero"/>
        <c:auto val="1"/>
        <c:lblAlgn val="ctr"/>
        <c:lblOffset val="100"/>
        <c:noMultiLvlLbl val="0"/>
      </c:catAx>
      <c:valAx>
        <c:axId val="186493263"/>
        <c:scaling>
          <c:orientation val="minMax"/>
        </c:scaling>
        <c:delete val="1"/>
        <c:axPos val="b"/>
        <c:numFmt formatCode="General" sourceLinked="1"/>
        <c:majorTickMark val="out"/>
        <c:minorTickMark val="none"/>
        <c:tickLblPos val="nextTo"/>
        <c:crossAx val="186502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 tabel!PivotTable1</c:name>
    <c:fmtId val="13"/>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IN" b="1">
                <a:solidFill>
                  <a:srgbClr val="990099"/>
                </a:solidFill>
              </a:rPr>
              <a:t>CALL</a:t>
            </a:r>
            <a:r>
              <a:rPr lang="en-IN" b="1" baseline="0">
                <a:solidFill>
                  <a:srgbClr val="990099"/>
                </a:solidFill>
              </a:rPr>
              <a:t> TRENDS</a:t>
            </a:r>
            <a:endParaRPr lang="en-IN" b="1">
              <a:solidFill>
                <a:srgbClr val="990099"/>
              </a:solidFill>
            </a:endParaRPr>
          </a:p>
        </c:rich>
      </c:tx>
      <c:layout>
        <c:manualLayout>
          <c:xMode val="edge"/>
          <c:yMode val="edge"/>
          <c:x val="9.1092147512974467E-2"/>
          <c:y val="4.9180327868852458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7030A0"/>
              </a:gs>
              <a:gs pos="74000">
                <a:schemeClr val="accent1">
                  <a:lumMod val="45000"/>
                  <a:lumOff val="55000"/>
                </a:schemeClr>
              </a:gs>
              <a:gs pos="83000">
                <a:schemeClr val="accent1">
                  <a:lumMod val="45000"/>
                  <a:lumOff val="55000"/>
                </a:schemeClr>
              </a:gs>
              <a:gs pos="100000">
                <a:srgbClr val="8F68A0"/>
              </a:gs>
            </a:gsLst>
            <a:lin ang="5400000" scaled="1"/>
          </a:gradFill>
          <a:ln>
            <a:solidFill>
              <a:schemeClr val="tx1">
                <a:lumMod val="95000"/>
                <a:lumOff val="5000"/>
              </a:schemeClr>
            </a:solid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95000"/>
                <a:lumOff val="5000"/>
              </a:schemeClr>
            </a:solidFill>
            <a:round/>
          </a:ln>
          <a:effectLst/>
        </c:spPr>
        <c:marker>
          <c:symbol val="circle"/>
          <c:size val="5"/>
          <c:spPr>
            <a:solidFill>
              <a:schemeClr val="bg1"/>
            </a:solidFill>
            <a:ln w="9525">
              <a:solidFill>
                <a:schemeClr val="tx1">
                  <a:lumMod val="95000"/>
                  <a:lumOff val="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7667029426199773E-2"/>
          <c:y val="5.5555555555555552E-2"/>
          <c:w val="0.9052326995710902"/>
          <c:h val="0.8416746864975212"/>
        </c:manualLayout>
      </c:layout>
      <c:areaChart>
        <c:grouping val="standard"/>
        <c:varyColors val="0"/>
        <c:ser>
          <c:idx val="1"/>
          <c:order val="1"/>
          <c:tx>
            <c:strRef>
              <c:f>'pivot tabel'!$C$17</c:f>
              <c:strCache>
                <c:ptCount val="1"/>
                <c:pt idx="0">
                  <c:v>TOTAL CALLS2</c:v>
                </c:pt>
              </c:strCache>
            </c:strRef>
          </c:tx>
          <c:spPr>
            <a:gradFill>
              <a:gsLst>
                <a:gs pos="0">
                  <a:srgbClr val="7030A0"/>
                </a:gs>
                <a:gs pos="74000">
                  <a:schemeClr val="accent1">
                    <a:lumMod val="45000"/>
                    <a:lumOff val="55000"/>
                  </a:schemeClr>
                </a:gs>
                <a:gs pos="83000">
                  <a:schemeClr val="accent1">
                    <a:lumMod val="45000"/>
                    <a:lumOff val="55000"/>
                  </a:schemeClr>
                </a:gs>
                <a:gs pos="100000">
                  <a:srgbClr val="8F68A0"/>
                </a:gs>
              </a:gsLst>
              <a:lin ang="5400000" scaled="1"/>
            </a:gradFill>
            <a:ln>
              <a:solidFill>
                <a:schemeClr val="tx1">
                  <a:lumMod val="95000"/>
                  <a:lumOff val="5000"/>
                </a:schemeClr>
              </a:solidFill>
            </a:ln>
            <a:effectLst>
              <a:outerShdw blurRad="50800" dist="38100" dir="5400000" algn="t" rotWithShape="0">
                <a:prstClr val="black">
                  <a:alpha val="40000"/>
                </a:prstClr>
              </a:outerShdw>
            </a:effectLst>
          </c:spPr>
          <c:cat>
            <c:strRef>
              <c:f>'pivot tabel'!$A$18:$A$30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tabel'!$C$18:$C$30</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700F-4784-8D58-7DBBEBAFE4D5}"/>
            </c:ext>
          </c:extLst>
        </c:ser>
        <c:dLbls>
          <c:showLegendKey val="0"/>
          <c:showVal val="0"/>
          <c:showCatName val="0"/>
          <c:showSerName val="0"/>
          <c:showPercent val="0"/>
          <c:showBubbleSize val="0"/>
        </c:dLbls>
        <c:axId val="2019717104"/>
        <c:axId val="2019715664"/>
      </c:areaChart>
      <c:lineChart>
        <c:grouping val="standard"/>
        <c:varyColors val="0"/>
        <c:ser>
          <c:idx val="0"/>
          <c:order val="0"/>
          <c:tx>
            <c:strRef>
              <c:f>'pivot tabel'!$B$17</c:f>
              <c:strCache>
                <c:ptCount val="1"/>
                <c:pt idx="0">
                  <c:v>TOTAL CALLS</c:v>
                </c:pt>
              </c:strCache>
            </c:strRef>
          </c:tx>
          <c:spPr>
            <a:ln w="28575" cap="rnd">
              <a:solidFill>
                <a:schemeClr val="tx1">
                  <a:lumMod val="95000"/>
                  <a:lumOff val="5000"/>
                </a:schemeClr>
              </a:solidFill>
              <a:round/>
            </a:ln>
            <a:effectLst/>
          </c:spPr>
          <c:marker>
            <c:symbol val="circle"/>
            <c:size val="5"/>
            <c:spPr>
              <a:solidFill>
                <a:schemeClr val="bg1"/>
              </a:solidFill>
              <a:ln w="9525">
                <a:solidFill>
                  <a:schemeClr val="tx1">
                    <a:lumMod val="95000"/>
                    <a:lumOff val="5000"/>
                  </a:schemeClr>
                </a:solidFill>
              </a:ln>
              <a:effectLst/>
            </c:spPr>
          </c:marker>
          <c:cat>
            <c:strRef>
              <c:f>'pivot tabel'!$A$18:$A$30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tabel'!$B$18:$B$30</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700F-4784-8D58-7DBBEBAFE4D5}"/>
            </c:ext>
          </c:extLst>
        </c:ser>
        <c:dLbls>
          <c:showLegendKey val="0"/>
          <c:showVal val="0"/>
          <c:showCatName val="0"/>
          <c:showSerName val="0"/>
          <c:showPercent val="0"/>
          <c:showBubbleSize val="0"/>
        </c:dLbls>
        <c:marker val="1"/>
        <c:smooth val="0"/>
        <c:axId val="2019717104"/>
        <c:axId val="2019715664"/>
      </c:lineChart>
      <c:catAx>
        <c:axId val="2019717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15664"/>
        <c:crosses val="autoZero"/>
        <c:auto val="1"/>
        <c:lblAlgn val="ctr"/>
        <c:lblOffset val="100"/>
        <c:noMultiLvlLbl val="0"/>
      </c:catAx>
      <c:valAx>
        <c:axId val="2019715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17104"/>
        <c:crosses val="autoZero"/>
        <c:crossBetween val="between"/>
      </c:valAx>
      <c:spPr>
        <a:noFill/>
        <a:ln>
          <a:solidFill>
            <a:schemeClr val="bg1">
              <a:alpha val="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990099"/>
                </a:solidFill>
              </a:rPr>
              <a:t>Call</a:t>
            </a:r>
          </a:p>
        </c:rich>
      </c:tx>
      <c:layout>
        <c:manualLayout>
          <c:xMode val="edge"/>
          <c:yMode val="edge"/>
          <c:x val="7.1025297369743681E-2"/>
          <c:y val="1.965408805031446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tabel'!$H$46</c:f>
              <c:strCache>
                <c:ptCount val="1"/>
                <c:pt idx="0">
                  <c:v>TOTAL AMOUNT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tabel'!$F$47:$F$51</c:f>
              <c:strCache>
                <c:ptCount val="5"/>
                <c:pt idx="0">
                  <c:v>R01</c:v>
                </c:pt>
                <c:pt idx="1">
                  <c:v>R02</c:v>
                </c:pt>
                <c:pt idx="2">
                  <c:v>R03</c:v>
                </c:pt>
                <c:pt idx="3">
                  <c:v>R04</c:v>
                </c:pt>
                <c:pt idx="4">
                  <c:v>R05</c:v>
                </c:pt>
              </c:strCache>
            </c:strRef>
          </c:cat>
          <c:val>
            <c:numRef>
              <c:f>'pivot tabel'!$G$47:$G$51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B634-4BD5-8C13-3A79D58269EE}"/>
            </c:ext>
          </c:extLst>
        </c:ser>
        <c:ser>
          <c:idx val="1"/>
          <c:order val="1"/>
          <c:tx>
            <c:strRef>
              <c:f>'pivot tabel'!$I$46</c:f>
              <c:strCache>
                <c:ptCount val="1"/>
                <c:pt idx="0">
                  <c:v>SEL.CALLS</c:v>
                </c:pt>
              </c:strCache>
            </c:strRef>
          </c:tx>
          <c:spPr>
            <a:gradFill>
              <a:gsLst>
                <a:gs pos="0">
                  <a:srgbClr val="7030A0"/>
                </a:gs>
                <a:gs pos="74000">
                  <a:schemeClr val="accent1">
                    <a:lumMod val="45000"/>
                    <a:lumOff val="55000"/>
                  </a:schemeClr>
                </a:gs>
                <a:gs pos="83000">
                  <a:schemeClr val="accent1">
                    <a:lumMod val="45000"/>
                    <a:lumOff val="55000"/>
                  </a:schemeClr>
                </a:gs>
                <a:gs pos="100000">
                  <a:srgbClr val="8F68A0"/>
                </a:gs>
              </a:gsLst>
              <a:lin ang="5400000" scaled="1"/>
            </a:gradFill>
            <a:ln>
              <a:noFill/>
            </a:ln>
            <a:effectLst/>
          </c:spPr>
          <c:invertIfNegative val="0"/>
          <c:dLbls>
            <c:delete val="1"/>
          </c:dLbls>
          <c:cat>
            <c:strRef>
              <c:f>'pivot tabel'!$F$47:$F$51</c:f>
              <c:strCache>
                <c:ptCount val="5"/>
                <c:pt idx="0">
                  <c:v>R01</c:v>
                </c:pt>
                <c:pt idx="1">
                  <c:v>R02</c:v>
                </c:pt>
                <c:pt idx="2">
                  <c:v>R03</c:v>
                </c:pt>
                <c:pt idx="3">
                  <c:v>R04</c:v>
                </c:pt>
                <c:pt idx="4">
                  <c:v>R05</c:v>
                </c:pt>
              </c:strCache>
            </c:strRef>
          </c:cat>
          <c:val>
            <c:numRef>
              <c:f>'pivot tabel'!$I$47:$I$51</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1-B634-4BD5-8C13-3A79D58269EE}"/>
            </c:ext>
          </c:extLst>
        </c:ser>
        <c:dLbls>
          <c:dLblPos val="outEnd"/>
          <c:showLegendKey val="0"/>
          <c:showVal val="1"/>
          <c:showCatName val="0"/>
          <c:showSerName val="0"/>
          <c:showPercent val="0"/>
          <c:showBubbleSize val="0"/>
        </c:dLbls>
        <c:gapWidth val="25"/>
        <c:overlap val="100"/>
        <c:axId val="1959308607"/>
        <c:axId val="1959305247"/>
      </c:barChart>
      <c:dateAx>
        <c:axId val="195930860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05247"/>
        <c:crosses val="autoZero"/>
        <c:auto val="0"/>
        <c:lblOffset val="100"/>
        <c:baseTimeUnit val="days"/>
      </c:dateAx>
      <c:valAx>
        <c:axId val="1959305247"/>
        <c:scaling>
          <c:orientation val="minMax"/>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08607"/>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990099"/>
                </a:solidFill>
              </a:rPr>
              <a:t>Amount</a:t>
            </a:r>
          </a:p>
        </c:rich>
      </c:tx>
      <c:layout>
        <c:manualLayout>
          <c:xMode val="edge"/>
          <c:yMode val="edge"/>
          <c:x val="6.0602580927384055E-2"/>
          <c:y val="2.369668246445497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tabel'!$G$45</c:f>
              <c:strCache>
                <c:ptCount val="1"/>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tabel'!$F$47:$F$51</c:f>
              <c:strCache>
                <c:ptCount val="5"/>
                <c:pt idx="0">
                  <c:v>R01</c:v>
                </c:pt>
                <c:pt idx="1">
                  <c:v>R02</c:v>
                </c:pt>
                <c:pt idx="2">
                  <c:v>R03</c:v>
                </c:pt>
                <c:pt idx="3">
                  <c:v>R04</c:v>
                </c:pt>
                <c:pt idx="4">
                  <c:v>R05</c:v>
                </c:pt>
              </c:strCache>
            </c:strRef>
          </c:cat>
          <c:val>
            <c:numRef>
              <c:f>'pivot tabel'!$H$47:$H$51</c:f>
              <c:numCache>
                <c:formatCode>"₹"\ #,##0;[Red]"₹"\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17D-4CC4-B20A-C24880E7CAAD}"/>
            </c:ext>
          </c:extLst>
        </c:ser>
        <c:ser>
          <c:idx val="1"/>
          <c:order val="1"/>
          <c:tx>
            <c:strRef>
              <c:f>'pivot tabel'!$J$46</c:f>
              <c:strCache>
                <c:ptCount val="1"/>
                <c:pt idx="0">
                  <c:v>SEL.AMOUNT</c:v>
                </c:pt>
              </c:strCache>
            </c:strRef>
          </c:tx>
          <c:spPr>
            <a:gradFill>
              <a:gsLst>
                <a:gs pos="0">
                  <a:srgbClr val="7030A0"/>
                </a:gs>
                <a:gs pos="74000">
                  <a:schemeClr val="accent1">
                    <a:lumMod val="45000"/>
                    <a:lumOff val="55000"/>
                  </a:schemeClr>
                </a:gs>
                <a:gs pos="83000">
                  <a:schemeClr val="accent1">
                    <a:lumMod val="45000"/>
                    <a:lumOff val="55000"/>
                  </a:schemeClr>
                </a:gs>
                <a:gs pos="100000">
                  <a:srgbClr val="8F68A0"/>
                </a:gs>
              </a:gsLst>
              <a:lin ang="5400000" scaled="1"/>
            </a:gradFill>
            <a:ln>
              <a:noFill/>
            </a:ln>
            <a:effectLst/>
          </c:spPr>
          <c:invertIfNegative val="0"/>
          <c:dLbls>
            <c:delete val="1"/>
          </c:dLbls>
          <c:val>
            <c:numRef>
              <c:f>'pivot tabel'!$J$47:$J$51</c:f>
              <c:numCache>
                <c:formatCode>"₹"\ #,##0;[Red]"₹"\ #,##0</c:formatCode>
                <c:ptCount val="5"/>
                <c:pt idx="0">
                  <c:v>#N/A</c:v>
                </c:pt>
                <c:pt idx="1">
                  <c:v>#N/A</c:v>
                </c:pt>
                <c:pt idx="2">
                  <c:v>#N/A</c:v>
                </c:pt>
                <c:pt idx="3">
                  <c:v>16651</c:v>
                </c:pt>
                <c:pt idx="4">
                  <c:v>#N/A</c:v>
                </c:pt>
              </c:numCache>
            </c:numRef>
          </c:val>
          <c:extLst>
            <c:ext xmlns:c16="http://schemas.microsoft.com/office/drawing/2014/chart" uri="{C3380CC4-5D6E-409C-BE32-E72D297353CC}">
              <c16:uniqueId val="{00000001-C17D-4CC4-B20A-C24880E7CAAD}"/>
            </c:ext>
          </c:extLst>
        </c:ser>
        <c:dLbls>
          <c:dLblPos val="outEnd"/>
          <c:showLegendKey val="0"/>
          <c:showVal val="1"/>
          <c:showCatName val="0"/>
          <c:showSerName val="0"/>
          <c:showPercent val="0"/>
          <c:showBubbleSize val="0"/>
        </c:dLbls>
        <c:gapWidth val="25"/>
        <c:overlap val="100"/>
        <c:axId val="1959308607"/>
        <c:axId val="1959305247"/>
      </c:barChart>
      <c:catAx>
        <c:axId val="195930860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05247"/>
        <c:crosses val="autoZero"/>
        <c:auto val="1"/>
        <c:lblAlgn val="ctr"/>
        <c:lblOffset val="100"/>
        <c:noMultiLvlLbl val="0"/>
      </c:catAx>
      <c:valAx>
        <c:axId val="1959305247"/>
        <c:scaling>
          <c:orientation val="minMax"/>
        </c:scaling>
        <c:delete val="1"/>
        <c:axPos val="t"/>
        <c:numFmt formatCode="&quot;₹&quot;\ #,##0;[Red]&quot;₹&quot;\ #,##0" sourceLinked="1"/>
        <c:majorTickMark val="out"/>
        <c:minorTickMark val="none"/>
        <c:tickLblPos val="nextTo"/>
        <c:crossAx val="1959308607"/>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 tabel!PivotTable6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solidFill>
                  <a:srgbClr val="990099"/>
                </a:solidFill>
              </a:rPr>
              <a:t>Female</a:t>
            </a:r>
            <a:r>
              <a:rPr lang="en-IN" baseline="0"/>
              <a:t> vs </a:t>
            </a:r>
            <a:r>
              <a:rPr lang="en-IN" b="1" baseline="0">
                <a:solidFill>
                  <a:srgbClr val="FB2525"/>
                </a:solidFill>
              </a:rPr>
              <a:t>Male</a:t>
            </a:r>
            <a:r>
              <a:rPr lang="en-IN" b="1" baseline="0"/>
              <a:t> Callers</a:t>
            </a:r>
            <a:endParaRPr lang="en-IN"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8F68A0"/>
          </a:solidFill>
          <a:ln>
            <a:noFill/>
          </a:ln>
          <a:effectLst/>
        </c:spPr>
        <c:marker>
          <c:symbol val="none"/>
        </c:marker>
        <c:dLbl>
          <c:idx val="0"/>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tabel'!$D$59:$D$60</c:f>
              <c:strCache>
                <c:ptCount val="1"/>
                <c:pt idx="0">
                  <c:v>Female</c:v>
                </c:pt>
              </c:strCache>
            </c:strRef>
          </c:tx>
          <c:spPr>
            <a:solidFill>
              <a:srgbClr val="8F68A0"/>
            </a:solidFill>
            <a:ln>
              <a:noFill/>
            </a:ln>
            <a:effectLst/>
          </c:spPr>
          <c:invertIfNegative val="0"/>
          <c:dLbls>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tabel'!$C$61:$C$64</c:f>
              <c:strCache>
                <c:ptCount val="3"/>
                <c:pt idx="0">
                  <c:v>Cincinnati</c:v>
                </c:pt>
                <c:pt idx="1">
                  <c:v>Cleveland</c:v>
                </c:pt>
                <c:pt idx="2">
                  <c:v>Columbus</c:v>
                </c:pt>
              </c:strCache>
            </c:strRef>
          </c:cat>
          <c:val>
            <c:numRef>
              <c:f>'pivot tabel'!$D$61:$D$64</c:f>
              <c:numCache>
                <c:formatCode>General</c:formatCode>
                <c:ptCount val="3"/>
                <c:pt idx="0">
                  <c:v>144</c:v>
                </c:pt>
                <c:pt idx="1">
                  <c:v>326</c:v>
                </c:pt>
                <c:pt idx="2">
                  <c:v>129</c:v>
                </c:pt>
              </c:numCache>
            </c:numRef>
          </c:val>
          <c:extLst>
            <c:ext xmlns:c16="http://schemas.microsoft.com/office/drawing/2014/chart" uri="{C3380CC4-5D6E-409C-BE32-E72D297353CC}">
              <c16:uniqueId val="{00000000-069A-4FB7-81AA-BB20A0138091}"/>
            </c:ext>
          </c:extLst>
        </c:ser>
        <c:ser>
          <c:idx val="1"/>
          <c:order val="1"/>
          <c:tx>
            <c:strRef>
              <c:f>'pivot tabel'!$E$59:$E$60</c:f>
              <c:strCache>
                <c:ptCount val="1"/>
                <c:pt idx="0">
                  <c:v>Male</c:v>
                </c:pt>
              </c:strCache>
            </c:strRef>
          </c:tx>
          <c:spPr>
            <a:solidFill>
              <a:schemeClr val="accent2"/>
            </a:solidFill>
            <a:ln>
              <a:noFill/>
            </a:ln>
            <a:effectLst/>
          </c:spPr>
          <c:invertIfNegative val="0"/>
          <c:dLbls>
            <c:spPr>
              <a:gradFill>
                <a:gsLst>
                  <a:gs pos="0">
                    <a:srgbClr val="7030A0"/>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tabel'!$C$61:$C$64</c:f>
              <c:strCache>
                <c:ptCount val="3"/>
                <c:pt idx="0">
                  <c:v>Cincinnati</c:v>
                </c:pt>
                <c:pt idx="1">
                  <c:v>Cleveland</c:v>
                </c:pt>
                <c:pt idx="2">
                  <c:v>Columbus</c:v>
                </c:pt>
              </c:strCache>
            </c:strRef>
          </c:cat>
          <c:val>
            <c:numRef>
              <c:f>'pivot tabel'!$E$61:$E$64</c:f>
              <c:numCache>
                <c:formatCode>General</c:formatCode>
                <c:ptCount val="3"/>
                <c:pt idx="0">
                  <c:v>132</c:v>
                </c:pt>
                <c:pt idx="1">
                  <c:v>63</c:v>
                </c:pt>
                <c:pt idx="2">
                  <c:v>206</c:v>
                </c:pt>
              </c:numCache>
            </c:numRef>
          </c:val>
          <c:extLst>
            <c:ext xmlns:c16="http://schemas.microsoft.com/office/drawing/2014/chart" uri="{C3380CC4-5D6E-409C-BE32-E72D297353CC}">
              <c16:uniqueId val="{00000001-069A-4FB7-81AA-BB20A0138091}"/>
            </c:ext>
          </c:extLst>
        </c:ser>
        <c:dLbls>
          <c:dLblPos val="ctr"/>
          <c:showLegendKey val="0"/>
          <c:showVal val="1"/>
          <c:showCatName val="0"/>
          <c:showSerName val="0"/>
          <c:showPercent val="0"/>
          <c:showBubbleSize val="0"/>
        </c:dLbls>
        <c:gapWidth val="25"/>
        <c:overlap val="100"/>
        <c:axId val="1124435504"/>
        <c:axId val="1124435984"/>
      </c:barChart>
      <c:catAx>
        <c:axId val="11244355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35984"/>
        <c:crosses val="autoZero"/>
        <c:auto val="1"/>
        <c:lblAlgn val="ctr"/>
        <c:lblOffset val="100"/>
        <c:noMultiLvlLbl val="0"/>
      </c:catAx>
      <c:valAx>
        <c:axId val="1124435984"/>
        <c:scaling>
          <c:orientation val="minMax"/>
        </c:scaling>
        <c:delete val="1"/>
        <c:axPos val="l"/>
        <c:numFmt formatCode="0%" sourceLinked="1"/>
        <c:majorTickMark val="out"/>
        <c:minorTickMark val="none"/>
        <c:tickLblPos val="nextTo"/>
        <c:crossAx val="1124435504"/>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 tabel!Pivot satisfaction</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7030A0"/>
              </a:gs>
              <a:gs pos="74000">
                <a:srgbClr val="8F68A0"/>
              </a:gs>
              <a:gs pos="83000">
                <a:schemeClr val="accent1">
                  <a:lumMod val="45000"/>
                  <a:lumOff val="55000"/>
                </a:schemeClr>
              </a:gs>
              <a:gs pos="100000">
                <a:srgbClr val="8F68A0"/>
              </a:gs>
            </a:gsLst>
            <a:lin ang="5400000" scaled="1"/>
          </a:gradFill>
          <a:ln>
            <a:noFill/>
          </a:ln>
          <a:effectLst/>
        </c:spPr>
        <c:marker>
          <c:symbol val="none"/>
        </c:marker>
        <c:dLbl>
          <c:idx val="0"/>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tabel'!$B$68</c:f>
              <c:strCache>
                <c:ptCount val="1"/>
                <c:pt idx="0">
                  <c:v>Total</c:v>
                </c:pt>
              </c:strCache>
            </c:strRef>
          </c:tx>
          <c:spPr>
            <a:gradFill>
              <a:gsLst>
                <a:gs pos="0">
                  <a:srgbClr val="7030A0"/>
                </a:gs>
                <a:gs pos="74000">
                  <a:srgbClr val="8F68A0"/>
                </a:gs>
                <a:gs pos="83000">
                  <a:schemeClr val="accent1">
                    <a:lumMod val="45000"/>
                    <a:lumOff val="55000"/>
                  </a:schemeClr>
                </a:gs>
                <a:gs pos="100000">
                  <a:srgbClr val="8F68A0"/>
                </a:gs>
              </a:gsLst>
              <a:lin ang="5400000" scaled="1"/>
            </a:gradFill>
            <a:ln>
              <a:noFill/>
            </a:ln>
            <a:effectLst/>
          </c:spPr>
          <c:invertIfNegative val="0"/>
          <c:dLbls>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tabel'!$A$69:$A$74</c:f>
              <c:strCache>
                <c:ptCount val="5"/>
                <c:pt idx="0">
                  <c:v>1</c:v>
                </c:pt>
                <c:pt idx="1">
                  <c:v>2</c:v>
                </c:pt>
                <c:pt idx="2">
                  <c:v>3</c:v>
                </c:pt>
                <c:pt idx="3">
                  <c:v>4</c:v>
                </c:pt>
                <c:pt idx="4">
                  <c:v>5</c:v>
                </c:pt>
              </c:strCache>
            </c:strRef>
          </c:cat>
          <c:val>
            <c:numRef>
              <c:f>'pivot tabel'!$B$69:$B$74</c:f>
              <c:numCache>
                <c:formatCode>General</c:formatCode>
                <c:ptCount val="5"/>
                <c:pt idx="0">
                  <c:v>3</c:v>
                </c:pt>
                <c:pt idx="1">
                  <c:v>10</c:v>
                </c:pt>
                <c:pt idx="2">
                  <c:v>41</c:v>
                </c:pt>
                <c:pt idx="3">
                  <c:v>70</c:v>
                </c:pt>
                <c:pt idx="4">
                  <c:v>62</c:v>
                </c:pt>
              </c:numCache>
            </c:numRef>
          </c:val>
          <c:extLst>
            <c:ext xmlns:c16="http://schemas.microsoft.com/office/drawing/2014/chart" uri="{C3380CC4-5D6E-409C-BE32-E72D297353CC}">
              <c16:uniqueId val="{00000003-5BD2-4DC4-A776-63FC88E9DB69}"/>
            </c:ext>
          </c:extLst>
        </c:ser>
        <c:dLbls>
          <c:dLblPos val="outEnd"/>
          <c:showLegendKey val="0"/>
          <c:showVal val="1"/>
          <c:showCatName val="0"/>
          <c:showSerName val="0"/>
          <c:showPercent val="0"/>
          <c:showBubbleSize val="0"/>
        </c:dLbls>
        <c:gapWidth val="25"/>
        <c:overlap val="-27"/>
        <c:axId val="1607314560"/>
        <c:axId val="1607315040"/>
      </c:barChart>
      <c:catAx>
        <c:axId val="1607314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315040"/>
        <c:crosses val="autoZero"/>
        <c:auto val="1"/>
        <c:lblAlgn val="ctr"/>
        <c:lblOffset val="100"/>
        <c:noMultiLvlLbl val="0"/>
      </c:catAx>
      <c:valAx>
        <c:axId val="1607315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7314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 tabel!PivotTable1</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2246975225657766E-2"/>
          <c:y val="4.6296296296296294E-2"/>
          <c:w val="0.9052326995710902"/>
          <c:h val="0.8416746864975212"/>
        </c:manualLayout>
      </c:layout>
      <c:areaChart>
        <c:grouping val="standard"/>
        <c:varyColors val="0"/>
        <c:ser>
          <c:idx val="1"/>
          <c:order val="1"/>
          <c:tx>
            <c:strRef>
              <c:f>'pivot tabel'!$C$17</c:f>
              <c:strCache>
                <c:ptCount val="1"/>
                <c:pt idx="0">
                  <c:v>TOTAL CALLS2</c:v>
                </c:pt>
              </c:strCache>
            </c:strRef>
          </c:tx>
          <c:spPr>
            <a:solidFill>
              <a:schemeClr val="accent2"/>
            </a:solidFill>
            <a:ln>
              <a:noFill/>
            </a:ln>
            <a:effectLst/>
          </c:spPr>
          <c:cat>
            <c:strRef>
              <c:f>'pivot tabel'!$A$18:$A$30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tabel'!$C$18:$C$30</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4-6E48-4794-8F99-EE2356E79771}"/>
            </c:ext>
          </c:extLst>
        </c:ser>
        <c:dLbls>
          <c:showLegendKey val="0"/>
          <c:showVal val="0"/>
          <c:showCatName val="0"/>
          <c:showSerName val="0"/>
          <c:showPercent val="0"/>
          <c:showBubbleSize val="0"/>
        </c:dLbls>
        <c:axId val="2019717104"/>
        <c:axId val="2019715664"/>
      </c:areaChart>
      <c:lineChart>
        <c:grouping val="standard"/>
        <c:varyColors val="0"/>
        <c:ser>
          <c:idx val="0"/>
          <c:order val="0"/>
          <c:tx>
            <c:strRef>
              <c:f>'pivot tabel'!$B$17</c:f>
              <c:strCache>
                <c:ptCount val="1"/>
                <c:pt idx="0">
                  <c:v>TOTAL CALLS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tabel'!$A$18:$A$30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tabel'!$B$18:$B$30</c:f>
              <c:numCache>
                <c:formatCode>General</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0-6E48-4794-8F99-EE2356E79771}"/>
            </c:ext>
          </c:extLst>
        </c:ser>
        <c:dLbls>
          <c:showLegendKey val="0"/>
          <c:showVal val="0"/>
          <c:showCatName val="0"/>
          <c:showSerName val="0"/>
          <c:showPercent val="0"/>
          <c:showBubbleSize val="0"/>
        </c:dLbls>
        <c:marker val="1"/>
        <c:smooth val="0"/>
        <c:axId val="2019717104"/>
        <c:axId val="2019715664"/>
      </c:lineChart>
      <c:catAx>
        <c:axId val="201971710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15664"/>
        <c:crosses val="autoZero"/>
        <c:auto val="1"/>
        <c:lblAlgn val="ctr"/>
        <c:lblOffset val="100"/>
        <c:noMultiLvlLbl val="0"/>
      </c:catAx>
      <c:valAx>
        <c:axId val="2019715664"/>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9717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'pivot tabel'!$H$46</c:f>
              <c:strCache>
                <c:ptCount val="1"/>
                <c:pt idx="0">
                  <c:v>TOTAL AMOUNT</c:v>
                </c:pt>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tabel'!$F$47:$F$51</c:f>
              <c:strCache>
                <c:ptCount val="5"/>
                <c:pt idx="0">
                  <c:v>R01</c:v>
                </c:pt>
                <c:pt idx="1">
                  <c:v>R02</c:v>
                </c:pt>
                <c:pt idx="2">
                  <c:v>R03</c:v>
                </c:pt>
                <c:pt idx="3">
                  <c:v>R04</c:v>
                </c:pt>
                <c:pt idx="4">
                  <c:v>R05</c:v>
                </c:pt>
              </c:strCache>
            </c:strRef>
          </c:cat>
          <c:val>
            <c:numRef>
              <c:f>'pivot tabel'!$G$47:$G$51</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844C-48FB-AEEA-FAE945C57E73}"/>
            </c:ext>
          </c:extLst>
        </c:ser>
        <c:ser>
          <c:idx val="1"/>
          <c:order val="1"/>
          <c:tx>
            <c:strRef>
              <c:f>'pivot tabel'!$I$46</c:f>
              <c:strCache>
                <c:ptCount val="1"/>
                <c:pt idx="0">
                  <c:v>SEL.CALLS</c:v>
                </c:pt>
              </c:strCache>
            </c:strRef>
          </c:tx>
          <c:spPr>
            <a:solidFill>
              <a:schemeClr val="accent2"/>
            </a:solidFill>
            <a:ln>
              <a:noFill/>
            </a:ln>
            <a:effectLst/>
          </c:spPr>
          <c:invertIfNegative val="0"/>
          <c:dLbls>
            <c:delete val="1"/>
          </c:dLbls>
          <c:cat>
            <c:strRef>
              <c:f>'pivot tabel'!$F$47:$F$51</c:f>
              <c:strCache>
                <c:ptCount val="5"/>
                <c:pt idx="0">
                  <c:v>R01</c:v>
                </c:pt>
                <c:pt idx="1">
                  <c:v>R02</c:v>
                </c:pt>
                <c:pt idx="2">
                  <c:v>R03</c:v>
                </c:pt>
                <c:pt idx="3">
                  <c:v>R04</c:v>
                </c:pt>
                <c:pt idx="4">
                  <c:v>R05</c:v>
                </c:pt>
              </c:strCache>
            </c:strRef>
          </c:cat>
          <c:val>
            <c:numRef>
              <c:f>'pivot tabel'!$I$47:$I$51</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2-844C-48FB-AEEA-FAE945C57E73}"/>
            </c:ext>
          </c:extLst>
        </c:ser>
        <c:dLbls>
          <c:dLblPos val="outEnd"/>
          <c:showLegendKey val="0"/>
          <c:showVal val="1"/>
          <c:showCatName val="0"/>
          <c:showSerName val="0"/>
          <c:showPercent val="0"/>
          <c:showBubbleSize val="0"/>
        </c:dLbls>
        <c:gapWidth val="25"/>
        <c:overlap val="100"/>
        <c:axId val="1959308607"/>
        <c:axId val="1959305247"/>
      </c:barChart>
      <c:dateAx>
        <c:axId val="1959308607"/>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05247"/>
        <c:crosses val="autoZero"/>
        <c:auto val="0"/>
        <c:lblOffset val="100"/>
        <c:baseTimeUnit val="days"/>
      </c:dateAx>
      <c:valAx>
        <c:axId val="1959305247"/>
        <c:scaling>
          <c:orientation val="minMax"/>
          <c:min val="0"/>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08607"/>
        <c:crosses val="max"/>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'pivot tabel'!$G$45</c:f>
              <c:strCache>
                <c:ptCount val="1"/>
              </c:strCache>
            </c:strRef>
          </c:t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invertIfNegative val="0"/>
          <c:dLbls>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tabel'!$F$47:$F$51</c:f>
              <c:strCache>
                <c:ptCount val="5"/>
                <c:pt idx="0">
                  <c:v>R01</c:v>
                </c:pt>
                <c:pt idx="1">
                  <c:v>R02</c:v>
                </c:pt>
                <c:pt idx="2">
                  <c:v>R03</c:v>
                </c:pt>
                <c:pt idx="3">
                  <c:v>R04</c:v>
                </c:pt>
                <c:pt idx="4">
                  <c:v>R05</c:v>
                </c:pt>
              </c:strCache>
            </c:strRef>
          </c:cat>
          <c:val>
            <c:numRef>
              <c:f>'pivot tabel'!$H$47:$H$51</c:f>
              <c:numCache>
                <c:formatCode>"₹"\ #,##0;[Red]"₹"\ #,##0</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3653-4744-9A4E-157F80ACD31A}"/>
            </c:ext>
          </c:extLst>
        </c:ser>
        <c:ser>
          <c:idx val="1"/>
          <c:order val="1"/>
          <c:tx>
            <c:strRef>
              <c:f>'pivot tabel'!$J$46</c:f>
              <c:strCache>
                <c:ptCount val="1"/>
                <c:pt idx="0">
                  <c:v>SEL.AMOUNT</c:v>
                </c:pt>
              </c:strCache>
            </c:strRef>
          </c:tx>
          <c:spPr>
            <a:solidFill>
              <a:schemeClr val="accent2"/>
            </a:solidFill>
            <a:ln>
              <a:noFill/>
            </a:ln>
            <a:effectLst/>
          </c:spPr>
          <c:invertIfNegative val="0"/>
          <c:dLbls>
            <c:delete val="1"/>
          </c:dLbls>
          <c:val>
            <c:numRef>
              <c:f>'pivot tabel'!$J$47:$J$51</c:f>
              <c:numCache>
                <c:formatCode>"₹"\ #,##0;[Red]"₹"\ #,##0</c:formatCode>
                <c:ptCount val="5"/>
                <c:pt idx="0">
                  <c:v>#N/A</c:v>
                </c:pt>
                <c:pt idx="1">
                  <c:v>#N/A</c:v>
                </c:pt>
                <c:pt idx="2">
                  <c:v>#N/A</c:v>
                </c:pt>
                <c:pt idx="3">
                  <c:v>16651</c:v>
                </c:pt>
                <c:pt idx="4">
                  <c:v>#N/A</c:v>
                </c:pt>
              </c:numCache>
            </c:numRef>
          </c:val>
          <c:extLst>
            <c:ext xmlns:c16="http://schemas.microsoft.com/office/drawing/2014/chart" uri="{C3380CC4-5D6E-409C-BE32-E72D297353CC}">
              <c16:uniqueId val="{00000001-3653-4744-9A4E-157F80ACD31A}"/>
            </c:ext>
          </c:extLst>
        </c:ser>
        <c:dLbls>
          <c:dLblPos val="outEnd"/>
          <c:showLegendKey val="0"/>
          <c:showVal val="1"/>
          <c:showCatName val="0"/>
          <c:showSerName val="0"/>
          <c:showPercent val="0"/>
          <c:showBubbleSize val="0"/>
        </c:dLbls>
        <c:gapWidth val="25"/>
        <c:overlap val="100"/>
        <c:axId val="1959308607"/>
        <c:axId val="1959305247"/>
      </c:barChart>
      <c:catAx>
        <c:axId val="1959308607"/>
        <c:scaling>
          <c:orientation val="maxMin"/>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9305247"/>
        <c:crosses val="autoZero"/>
        <c:auto val="1"/>
        <c:lblAlgn val="ctr"/>
        <c:lblOffset val="100"/>
        <c:noMultiLvlLbl val="0"/>
      </c:catAx>
      <c:valAx>
        <c:axId val="1959305247"/>
        <c:scaling>
          <c:orientation val="minMax"/>
        </c:scaling>
        <c:delete val="1"/>
        <c:axPos val="t"/>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Red]&quot;₹&quot;\ #,##0" sourceLinked="1"/>
        <c:majorTickMark val="out"/>
        <c:minorTickMark val="none"/>
        <c:tickLblPos val="nextTo"/>
        <c:crossAx val="195930860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data analysis.xlsx]pivot tabel!PivotTable6</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tabel'!$D$59:$D$60</c:f>
              <c:strCache>
                <c:ptCount val="1"/>
                <c:pt idx="0">
                  <c:v>Female</c:v>
                </c:pt>
              </c:strCache>
            </c:strRef>
          </c:tx>
          <c:spPr>
            <a:solidFill>
              <a:schemeClr val="accent1"/>
            </a:solidFill>
            <a:ln>
              <a:noFill/>
            </a:ln>
            <a:effectLst/>
          </c:spPr>
          <c:invertIfNegative val="0"/>
          <c:cat>
            <c:strRef>
              <c:f>'pivot tabel'!$C$61:$C$64</c:f>
              <c:strCache>
                <c:ptCount val="3"/>
                <c:pt idx="0">
                  <c:v>Cincinnati</c:v>
                </c:pt>
                <c:pt idx="1">
                  <c:v>Cleveland</c:v>
                </c:pt>
                <c:pt idx="2">
                  <c:v>Columbus</c:v>
                </c:pt>
              </c:strCache>
            </c:strRef>
          </c:cat>
          <c:val>
            <c:numRef>
              <c:f>'pivot tabel'!$D$61:$D$64</c:f>
              <c:numCache>
                <c:formatCode>General</c:formatCode>
                <c:ptCount val="3"/>
                <c:pt idx="0">
                  <c:v>144</c:v>
                </c:pt>
                <c:pt idx="1">
                  <c:v>326</c:v>
                </c:pt>
                <c:pt idx="2">
                  <c:v>129</c:v>
                </c:pt>
              </c:numCache>
            </c:numRef>
          </c:val>
          <c:extLst>
            <c:ext xmlns:c16="http://schemas.microsoft.com/office/drawing/2014/chart" uri="{C3380CC4-5D6E-409C-BE32-E72D297353CC}">
              <c16:uniqueId val="{00000000-A82A-474B-B57C-41A398E72B6A}"/>
            </c:ext>
          </c:extLst>
        </c:ser>
        <c:ser>
          <c:idx val="1"/>
          <c:order val="1"/>
          <c:tx>
            <c:strRef>
              <c:f>'pivot tabel'!$E$59:$E$60</c:f>
              <c:strCache>
                <c:ptCount val="1"/>
                <c:pt idx="0">
                  <c:v>Male</c:v>
                </c:pt>
              </c:strCache>
            </c:strRef>
          </c:tx>
          <c:spPr>
            <a:solidFill>
              <a:schemeClr val="accent2"/>
            </a:solidFill>
            <a:ln>
              <a:noFill/>
            </a:ln>
            <a:effectLst/>
          </c:spPr>
          <c:invertIfNegative val="0"/>
          <c:cat>
            <c:strRef>
              <c:f>'pivot tabel'!$C$61:$C$64</c:f>
              <c:strCache>
                <c:ptCount val="3"/>
                <c:pt idx="0">
                  <c:v>Cincinnati</c:v>
                </c:pt>
                <c:pt idx="1">
                  <c:v>Cleveland</c:v>
                </c:pt>
                <c:pt idx="2">
                  <c:v>Columbus</c:v>
                </c:pt>
              </c:strCache>
            </c:strRef>
          </c:cat>
          <c:val>
            <c:numRef>
              <c:f>'pivot tabel'!$E$61:$E$64</c:f>
              <c:numCache>
                <c:formatCode>General</c:formatCode>
                <c:ptCount val="3"/>
                <c:pt idx="0">
                  <c:v>132</c:v>
                </c:pt>
                <c:pt idx="1">
                  <c:v>63</c:v>
                </c:pt>
                <c:pt idx="2">
                  <c:v>206</c:v>
                </c:pt>
              </c:numCache>
            </c:numRef>
          </c:val>
          <c:extLst>
            <c:ext xmlns:c16="http://schemas.microsoft.com/office/drawing/2014/chart" uri="{C3380CC4-5D6E-409C-BE32-E72D297353CC}">
              <c16:uniqueId val="{00000001-A82A-474B-B57C-41A398E72B6A}"/>
            </c:ext>
          </c:extLst>
        </c:ser>
        <c:dLbls>
          <c:showLegendKey val="0"/>
          <c:showVal val="0"/>
          <c:showCatName val="0"/>
          <c:showSerName val="0"/>
          <c:showPercent val="0"/>
          <c:showBubbleSize val="0"/>
        </c:dLbls>
        <c:gapWidth val="150"/>
        <c:overlap val="100"/>
        <c:axId val="1124435504"/>
        <c:axId val="1124435984"/>
      </c:barChart>
      <c:catAx>
        <c:axId val="1124435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35984"/>
        <c:crosses val="autoZero"/>
        <c:auto val="1"/>
        <c:lblAlgn val="ctr"/>
        <c:lblOffset val="100"/>
        <c:noMultiLvlLbl val="0"/>
      </c:catAx>
      <c:valAx>
        <c:axId val="1124435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4435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3" Type="http://schemas.openxmlformats.org/officeDocument/2006/relationships/image" Target="../media/image2.png"/><Relationship Id="rId7" Type="http://schemas.openxmlformats.org/officeDocument/2006/relationships/chart" Target="../charts/chart2.xml"/><Relationship Id="rId2" Type="http://schemas.openxmlformats.org/officeDocument/2006/relationships/image" Target="../media/image1.png"/><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chart" Target="../charts/chart6.xml"/><Relationship Id="rId5" Type="http://schemas.openxmlformats.org/officeDocument/2006/relationships/image" Target="../media/image4.png"/><Relationship Id="rId10" Type="http://schemas.openxmlformats.org/officeDocument/2006/relationships/chart" Target="../charts/chart5.xml"/><Relationship Id="rId4" Type="http://schemas.openxmlformats.org/officeDocument/2006/relationships/image" Target="../media/image3.png"/><Relationship Id="rId9"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12</xdr:col>
      <xdr:colOff>579120</xdr:colOff>
      <xdr:row>7</xdr:row>
      <xdr:rowOff>152400</xdr:rowOff>
    </xdr:from>
    <xdr:to>
      <xdr:col>16</xdr:col>
      <xdr:colOff>220980</xdr:colOff>
      <xdr:row>19</xdr:row>
      <xdr:rowOff>129540</xdr:rowOff>
    </xdr:to>
    <xdr:graphicFrame macro="">
      <xdr:nvGraphicFramePr>
        <xdr:cNvPr id="2" name="Chart 1">
          <a:extLst>
            <a:ext uri="{FF2B5EF4-FFF2-40B4-BE49-F238E27FC236}">
              <a16:creationId xmlns:a16="http://schemas.microsoft.com/office/drawing/2014/main" id="{F58F35FD-0AA1-4C84-9F8D-9CE3BCAAE2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xdr:colOff>
      <xdr:row>2</xdr:row>
      <xdr:rowOff>83820</xdr:rowOff>
    </xdr:from>
    <xdr:to>
      <xdr:col>5</xdr:col>
      <xdr:colOff>426720</xdr:colOff>
      <xdr:row>38</xdr:row>
      <xdr:rowOff>175260</xdr:rowOff>
    </xdr:to>
    <xdr:sp macro="" textlink="">
      <xdr:nvSpPr>
        <xdr:cNvPr id="8" name="Rectangle: Rounded Corners 7">
          <a:extLst>
            <a:ext uri="{FF2B5EF4-FFF2-40B4-BE49-F238E27FC236}">
              <a16:creationId xmlns:a16="http://schemas.microsoft.com/office/drawing/2014/main" id="{4862B78E-A851-E0F3-9346-935BBE7DB4E5}"/>
            </a:ext>
          </a:extLst>
        </xdr:cNvPr>
        <xdr:cNvSpPr/>
      </xdr:nvSpPr>
      <xdr:spPr>
        <a:xfrm>
          <a:off x="144780" y="449580"/>
          <a:ext cx="2247900" cy="6675120"/>
        </a:xfrm>
        <a:prstGeom prst="roundRect">
          <a:avLst/>
        </a:prstGeom>
        <a:solidFill>
          <a:srgbClr val="7030A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129540</xdr:colOff>
      <xdr:row>2</xdr:row>
      <xdr:rowOff>76200</xdr:rowOff>
    </xdr:from>
    <xdr:to>
      <xdr:col>27</xdr:col>
      <xdr:colOff>281940</xdr:colOff>
      <xdr:row>7</xdr:row>
      <xdr:rowOff>7620</xdr:rowOff>
    </xdr:to>
    <xdr:sp macro="" textlink="">
      <xdr:nvSpPr>
        <xdr:cNvPr id="9" name="Rectangle: Rounded Corners 8">
          <a:extLst>
            <a:ext uri="{FF2B5EF4-FFF2-40B4-BE49-F238E27FC236}">
              <a16:creationId xmlns:a16="http://schemas.microsoft.com/office/drawing/2014/main" id="{0D0A9AD2-67EA-EA88-7E1F-8A597651DC6E}"/>
            </a:ext>
          </a:extLst>
        </xdr:cNvPr>
        <xdr:cNvSpPr/>
      </xdr:nvSpPr>
      <xdr:spPr>
        <a:xfrm>
          <a:off x="129540" y="441960"/>
          <a:ext cx="15529560" cy="845820"/>
        </a:xfrm>
        <a:prstGeom prst="roundRect">
          <a:avLst/>
        </a:prstGeom>
        <a:solidFill>
          <a:srgbClr val="7030A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9</xdr:col>
      <xdr:colOff>312420</xdr:colOff>
      <xdr:row>3</xdr:row>
      <xdr:rowOff>68580</xdr:rowOff>
    </xdr:from>
    <xdr:ext cx="4785360" cy="426720"/>
    <xdr:sp macro="" textlink="">
      <xdr:nvSpPr>
        <xdr:cNvPr id="10" name="TextBox 9">
          <a:extLst>
            <a:ext uri="{FF2B5EF4-FFF2-40B4-BE49-F238E27FC236}">
              <a16:creationId xmlns:a16="http://schemas.microsoft.com/office/drawing/2014/main" id="{C610EA6E-EC9B-4D6E-8F45-DA299B58DFE6}"/>
            </a:ext>
          </a:extLst>
        </xdr:cNvPr>
        <xdr:cNvSpPr txBox="1"/>
      </xdr:nvSpPr>
      <xdr:spPr>
        <a:xfrm>
          <a:off x="4716780" y="617220"/>
          <a:ext cx="4785360" cy="4267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400" b="1" i="0">
              <a:solidFill>
                <a:schemeClr val="bg1"/>
              </a:solidFill>
              <a:effectLst/>
              <a:latin typeface="+mn-lt"/>
              <a:ea typeface="+mn-ea"/>
              <a:cs typeface="+mn-cs"/>
            </a:rPr>
            <a:t>Call Center Performance Dashboard</a:t>
          </a:r>
          <a:endParaRPr lang="en-IN" sz="2400" b="1">
            <a:solidFill>
              <a:schemeClr val="bg1"/>
            </a:solidFill>
          </a:endParaRPr>
        </a:p>
      </xdr:txBody>
    </xdr:sp>
    <xdr:clientData/>
  </xdr:oneCellAnchor>
  <xdr:twoCellAnchor>
    <xdr:from>
      <xdr:col>2</xdr:col>
      <xdr:colOff>198120</xdr:colOff>
      <xdr:row>3</xdr:row>
      <xdr:rowOff>60960</xdr:rowOff>
    </xdr:from>
    <xdr:to>
      <xdr:col>5</xdr:col>
      <xdr:colOff>220980</xdr:colOff>
      <xdr:row>9</xdr:row>
      <xdr:rowOff>53340</xdr:rowOff>
    </xdr:to>
    <xdr:sp macro="" textlink="'pivot tabel'!A4">
      <xdr:nvSpPr>
        <xdr:cNvPr id="5" name="Rectangle: Rounded Corners 4">
          <a:extLst>
            <a:ext uri="{FF2B5EF4-FFF2-40B4-BE49-F238E27FC236}">
              <a16:creationId xmlns:a16="http://schemas.microsoft.com/office/drawing/2014/main" id="{1E2D3909-B6FD-429D-A42A-DE6EDF9A6B18}"/>
            </a:ext>
          </a:extLst>
        </xdr:cNvPr>
        <xdr:cNvSpPr/>
      </xdr:nvSpPr>
      <xdr:spPr>
        <a:xfrm>
          <a:off x="335280" y="609600"/>
          <a:ext cx="1851660" cy="1089660"/>
        </a:xfrm>
        <a:prstGeom prst="roundRect">
          <a:avLst/>
        </a:prstGeom>
        <a:solidFill>
          <a:srgbClr val="8F68A0"/>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E5F92E4-C2F2-4410-9DC9-1DDC9904B7BF}" type="TxLink">
            <a:rPr lang="en-US" sz="2400" b="1" i="0" u="none" strike="noStrike">
              <a:solidFill>
                <a:schemeClr val="bg1"/>
              </a:solidFill>
              <a:latin typeface="Calibri"/>
              <a:ea typeface="Calibri"/>
              <a:cs typeface="Calibri"/>
            </a:rPr>
            <a:pPr algn="ctr"/>
            <a:t>1000</a:t>
          </a:fld>
          <a:endParaRPr lang="en-IN" sz="2400" b="1">
            <a:solidFill>
              <a:schemeClr val="bg1"/>
            </a:solidFill>
          </a:endParaRPr>
        </a:p>
      </xdr:txBody>
    </xdr:sp>
    <xdr:clientData/>
  </xdr:twoCellAnchor>
  <xdr:twoCellAnchor>
    <xdr:from>
      <xdr:col>2</xdr:col>
      <xdr:colOff>167640</xdr:colOff>
      <xdr:row>9</xdr:row>
      <xdr:rowOff>144780</xdr:rowOff>
    </xdr:from>
    <xdr:to>
      <xdr:col>5</xdr:col>
      <xdr:colOff>190500</xdr:colOff>
      <xdr:row>15</xdr:row>
      <xdr:rowOff>137160</xdr:rowOff>
    </xdr:to>
    <xdr:sp macro="" textlink="'pivot tabel'!C4">
      <xdr:nvSpPr>
        <xdr:cNvPr id="7" name="Rectangle: Rounded Corners 6">
          <a:extLst>
            <a:ext uri="{FF2B5EF4-FFF2-40B4-BE49-F238E27FC236}">
              <a16:creationId xmlns:a16="http://schemas.microsoft.com/office/drawing/2014/main" id="{DEEEDA31-D943-4B57-B7E9-71C5D589D69C}"/>
            </a:ext>
          </a:extLst>
        </xdr:cNvPr>
        <xdr:cNvSpPr/>
      </xdr:nvSpPr>
      <xdr:spPr>
        <a:xfrm>
          <a:off x="304800" y="1790700"/>
          <a:ext cx="1851660" cy="1089660"/>
        </a:xfrm>
        <a:prstGeom prst="roundRect">
          <a:avLst/>
        </a:prstGeom>
        <a:solidFill>
          <a:srgbClr val="8F68A0"/>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B254DCB-4E42-48D2-A1D6-36C513336BAC}" type="TxLink">
            <a:rPr lang="en-US" sz="2400" b="1" i="0" u="none" strike="noStrike">
              <a:solidFill>
                <a:schemeClr val="bg1"/>
              </a:solidFill>
              <a:latin typeface="Calibri"/>
              <a:ea typeface="Calibri"/>
              <a:cs typeface="Calibri"/>
            </a:rPr>
            <a:pPr algn="ctr"/>
            <a:t>96623</a:t>
          </a:fld>
          <a:endParaRPr lang="en-IN" sz="2400" b="1">
            <a:solidFill>
              <a:schemeClr val="bg1"/>
            </a:solidFill>
          </a:endParaRPr>
        </a:p>
      </xdr:txBody>
    </xdr:sp>
    <xdr:clientData/>
  </xdr:twoCellAnchor>
  <xdr:twoCellAnchor>
    <xdr:from>
      <xdr:col>2</xdr:col>
      <xdr:colOff>144780</xdr:colOff>
      <xdr:row>16</xdr:row>
      <xdr:rowOff>121920</xdr:rowOff>
    </xdr:from>
    <xdr:to>
      <xdr:col>5</xdr:col>
      <xdr:colOff>167640</xdr:colOff>
      <xdr:row>22</xdr:row>
      <xdr:rowOff>114300</xdr:rowOff>
    </xdr:to>
    <xdr:sp macro="" textlink="'pivot tabel'!B4">
      <xdr:nvSpPr>
        <xdr:cNvPr id="11" name="Rectangle: Rounded Corners 10">
          <a:extLst>
            <a:ext uri="{FF2B5EF4-FFF2-40B4-BE49-F238E27FC236}">
              <a16:creationId xmlns:a16="http://schemas.microsoft.com/office/drawing/2014/main" id="{D215BC22-06A4-40F9-8593-AC43744F1D0C}"/>
            </a:ext>
          </a:extLst>
        </xdr:cNvPr>
        <xdr:cNvSpPr/>
      </xdr:nvSpPr>
      <xdr:spPr>
        <a:xfrm>
          <a:off x="281940" y="3048000"/>
          <a:ext cx="1851660" cy="1089660"/>
        </a:xfrm>
        <a:prstGeom prst="roundRect">
          <a:avLst/>
        </a:prstGeom>
        <a:solidFill>
          <a:srgbClr val="8F68A0"/>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D7C233D-8E27-4A33-8B58-1613A104D3A9}" type="TxLink">
            <a:rPr lang="en-US" sz="2400" b="1" i="0" u="none" strike="noStrike">
              <a:solidFill>
                <a:schemeClr val="bg1"/>
              </a:solidFill>
              <a:latin typeface="Calibri"/>
              <a:ea typeface="Calibri"/>
              <a:cs typeface="Calibri"/>
            </a:rPr>
            <a:pPr algn="ctr"/>
            <a:t>89850</a:t>
          </a:fld>
          <a:endParaRPr lang="en-IN" sz="2400" b="1">
            <a:solidFill>
              <a:schemeClr val="bg1"/>
            </a:solidFill>
          </a:endParaRPr>
        </a:p>
      </xdr:txBody>
    </xdr:sp>
    <xdr:clientData/>
  </xdr:twoCellAnchor>
  <xdr:twoCellAnchor>
    <xdr:from>
      <xdr:col>2</xdr:col>
      <xdr:colOff>129540</xdr:colOff>
      <xdr:row>23</xdr:row>
      <xdr:rowOff>7620</xdr:rowOff>
    </xdr:from>
    <xdr:to>
      <xdr:col>5</xdr:col>
      <xdr:colOff>152400</xdr:colOff>
      <xdr:row>29</xdr:row>
      <xdr:rowOff>0</xdr:rowOff>
    </xdr:to>
    <xdr:sp macro="" textlink="'pivot tabel'!D4">
      <xdr:nvSpPr>
        <xdr:cNvPr id="12" name="Rectangle: Rounded Corners 11">
          <a:extLst>
            <a:ext uri="{FF2B5EF4-FFF2-40B4-BE49-F238E27FC236}">
              <a16:creationId xmlns:a16="http://schemas.microsoft.com/office/drawing/2014/main" id="{4A6545B6-4687-4927-A108-530CD2EB01C5}"/>
            </a:ext>
          </a:extLst>
        </xdr:cNvPr>
        <xdr:cNvSpPr/>
      </xdr:nvSpPr>
      <xdr:spPr>
        <a:xfrm>
          <a:off x="266700" y="4213860"/>
          <a:ext cx="1851660" cy="1089660"/>
        </a:xfrm>
        <a:prstGeom prst="roundRect">
          <a:avLst/>
        </a:prstGeom>
        <a:solidFill>
          <a:srgbClr val="8F68A0"/>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422803E-3744-4228-BB54-389E60D56920}" type="TxLink">
            <a:rPr lang="en-US" sz="2400" b="1" i="0" u="none" strike="noStrike">
              <a:solidFill>
                <a:schemeClr val="bg1"/>
              </a:solidFill>
              <a:latin typeface="Calibri"/>
              <a:ea typeface="Calibri"/>
              <a:cs typeface="Calibri"/>
            </a:rPr>
            <a:pPr algn="ctr"/>
            <a:t>3.9</a:t>
          </a:fld>
          <a:endParaRPr lang="en-IN" sz="2400" b="1">
            <a:solidFill>
              <a:schemeClr val="bg1"/>
            </a:solidFill>
          </a:endParaRPr>
        </a:p>
      </xdr:txBody>
    </xdr:sp>
    <xdr:clientData/>
  </xdr:twoCellAnchor>
  <xdr:twoCellAnchor>
    <xdr:from>
      <xdr:col>2</xdr:col>
      <xdr:colOff>144780</xdr:colOff>
      <xdr:row>29</xdr:row>
      <xdr:rowOff>91440</xdr:rowOff>
    </xdr:from>
    <xdr:to>
      <xdr:col>5</xdr:col>
      <xdr:colOff>167640</xdr:colOff>
      <xdr:row>35</xdr:row>
      <xdr:rowOff>83820</xdr:rowOff>
    </xdr:to>
    <xdr:sp macro="" textlink="'pivot tabel'!E4">
      <xdr:nvSpPr>
        <xdr:cNvPr id="13" name="Rectangle: Rounded Corners 12">
          <a:extLst>
            <a:ext uri="{FF2B5EF4-FFF2-40B4-BE49-F238E27FC236}">
              <a16:creationId xmlns:a16="http://schemas.microsoft.com/office/drawing/2014/main" id="{614EB095-21D5-4899-AEA5-D3E8CC6DED25}"/>
            </a:ext>
          </a:extLst>
        </xdr:cNvPr>
        <xdr:cNvSpPr/>
      </xdr:nvSpPr>
      <xdr:spPr>
        <a:xfrm>
          <a:off x="281940" y="5394960"/>
          <a:ext cx="1851660" cy="1089660"/>
        </a:xfrm>
        <a:prstGeom prst="roundRect">
          <a:avLst/>
        </a:prstGeom>
        <a:solidFill>
          <a:srgbClr val="8F68A0"/>
        </a:solidFill>
        <a:ln>
          <a:solidFill>
            <a:schemeClr val="tx1"/>
          </a:solidFill>
        </a:ln>
        <a:effectLst>
          <a:innerShdw blurRad="63500" dist="50800" dir="135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3339CF7-EECC-4A44-8F4E-E1BD62A3C8B9}" type="TxLink">
            <a:rPr lang="en-US" sz="2400" b="1" i="0" u="none" strike="noStrike">
              <a:solidFill>
                <a:schemeClr val="bg1"/>
              </a:solidFill>
              <a:latin typeface="Calibri"/>
              <a:ea typeface="Calibri"/>
              <a:cs typeface="Calibri"/>
            </a:rPr>
            <a:pPr algn="ctr"/>
            <a:t>307</a:t>
          </a:fld>
          <a:endParaRPr lang="en-IN" sz="2400" b="1">
            <a:solidFill>
              <a:schemeClr val="bg1"/>
            </a:solidFill>
          </a:endParaRPr>
        </a:p>
      </xdr:txBody>
    </xdr:sp>
    <xdr:clientData/>
  </xdr:twoCellAnchor>
  <xdr:oneCellAnchor>
    <xdr:from>
      <xdr:col>2</xdr:col>
      <xdr:colOff>335280</xdr:colOff>
      <xdr:row>3</xdr:row>
      <xdr:rowOff>129540</xdr:rowOff>
    </xdr:from>
    <xdr:ext cx="1455420" cy="327660"/>
    <xdr:sp macro="" textlink="">
      <xdr:nvSpPr>
        <xdr:cNvPr id="14" name="TextBox 13">
          <a:extLst>
            <a:ext uri="{FF2B5EF4-FFF2-40B4-BE49-F238E27FC236}">
              <a16:creationId xmlns:a16="http://schemas.microsoft.com/office/drawing/2014/main" id="{23711911-5716-027C-6E5B-5AF97D466FB9}"/>
            </a:ext>
          </a:extLst>
        </xdr:cNvPr>
        <xdr:cNvSpPr txBox="1"/>
      </xdr:nvSpPr>
      <xdr:spPr>
        <a:xfrm>
          <a:off x="472440" y="678180"/>
          <a:ext cx="145542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chemeClr val="bg1"/>
              </a:solidFill>
              <a:latin typeface="Times New Roman" panose="02020603050405020304" pitchFamily="18" charset="0"/>
              <a:cs typeface="Times New Roman" panose="02020603050405020304" pitchFamily="18" charset="0"/>
            </a:rPr>
            <a:t>  </a:t>
          </a:r>
          <a:r>
            <a:rPr lang="en-IN" sz="2000" b="1">
              <a:solidFill>
                <a:schemeClr val="bg1"/>
              </a:solidFill>
              <a:latin typeface="Times New Roman" panose="02020603050405020304" pitchFamily="18" charset="0"/>
              <a:cs typeface="Times New Roman" panose="02020603050405020304" pitchFamily="18" charset="0"/>
            </a:rPr>
            <a:t>Calls</a:t>
          </a:r>
        </a:p>
      </xdr:txBody>
    </xdr:sp>
    <xdr:clientData/>
  </xdr:oneCellAnchor>
  <xdr:twoCellAnchor editAs="oneCell">
    <xdr:from>
      <xdr:col>2</xdr:col>
      <xdr:colOff>259080</xdr:colOff>
      <xdr:row>3</xdr:row>
      <xdr:rowOff>76200</xdr:rowOff>
    </xdr:from>
    <xdr:to>
      <xdr:col>3</xdr:col>
      <xdr:colOff>190500</xdr:colOff>
      <xdr:row>6</xdr:row>
      <xdr:rowOff>68580</xdr:rowOff>
    </xdr:to>
    <xdr:pic>
      <xdr:nvPicPr>
        <xdr:cNvPr id="16" name="Picture 15">
          <a:extLst>
            <a:ext uri="{FF2B5EF4-FFF2-40B4-BE49-F238E27FC236}">
              <a16:creationId xmlns:a16="http://schemas.microsoft.com/office/drawing/2014/main" id="{479EF985-82B3-F10F-6515-6BC4BDD80DB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396240" y="624840"/>
          <a:ext cx="541020" cy="541020"/>
        </a:xfrm>
        <a:prstGeom prst="rect">
          <a:avLst/>
        </a:prstGeom>
      </xdr:spPr>
    </xdr:pic>
    <xdr:clientData/>
  </xdr:twoCellAnchor>
  <xdr:oneCellAnchor>
    <xdr:from>
      <xdr:col>3</xdr:col>
      <xdr:colOff>53340</xdr:colOff>
      <xdr:row>7</xdr:row>
      <xdr:rowOff>29872</xdr:rowOff>
    </xdr:from>
    <xdr:ext cx="990600" cy="311496"/>
    <xdr:sp macro="" textlink="'pivot tabel'!A11">
      <xdr:nvSpPr>
        <xdr:cNvPr id="17" name="TextBox 16">
          <a:extLst>
            <a:ext uri="{FF2B5EF4-FFF2-40B4-BE49-F238E27FC236}">
              <a16:creationId xmlns:a16="http://schemas.microsoft.com/office/drawing/2014/main" id="{4D8BB8F3-E316-48FF-09BF-29E3ECDB348A}"/>
            </a:ext>
          </a:extLst>
        </xdr:cNvPr>
        <xdr:cNvSpPr txBox="1"/>
      </xdr:nvSpPr>
      <xdr:spPr>
        <a:xfrm>
          <a:off x="800100" y="1310032"/>
          <a:ext cx="99060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ED70DDF1-1465-45D7-84A7-21EA05AAB652}" type="TxLink">
            <a:rPr lang="en-US" sz="1400" b="1" i="0" u="none" strike="noStrike">
              <a:solidFill>
                <a:schemeClr val="bg1"/>
              </a:solidFill>
              <a:latin typeface="Calibri"/>
              <a:ea typeface="Calibri"/>
              <a:cs typeface="Calibri"/>
            </a:rPr>
            <a:pPr algn="ctr"/>
            <a:t>186</a:t>
          </a:fld>
          <a:endParaRPr lang="en-IN" sz="1400" b="1">
            <a:solidFill>
              <a:schemeClr val="bg1"/>
            </a:solidFill>
          </a:endParaRPr>
        </a:p>
      </xdr:txBody>
    </xdr:sp>
    <xdr:clientData/>
  </xdr:oneCellAnchor>
  <xdr:oneCellAnchor>
    <xdr:from>
      <xdr:col>3</xdr:col>
      <xdr:colOff>15240</xdr:colOff>
      <xdr:row>10</xdr:row>
      <xdr:rowOff>22860</xdr:rowOff>
    </xdr:from>
    <xdr:ext cx="1158240" cy="327660"/>
    <xdr:sp macro="" textlink="">
      <xdr:nvSpPr>
        <xdr:cNvPr id="18" name="TextBox 17">
          <a:extLst>
            <a:ext uri="{FF2B5EF4-FFF2-40B4-BE49-F238E27FC236}">
              <a16:creationId xmlns:a16="http://schemas.microsoft.com/office/drawing/2014/main" id="{AC12A3AC-7A41-4D37-B31E-93829F40B58E}"/>
            </a:ext>
          </a:extLst>
        </xdr:cNvPr>
        <xdr:cNvSpPr txBox="1"/>
      </xdr:nvSpPr>
      <xdr:spPr>
        <a:xfrm>
          <a:off x="762000" y="1851660"/>
          <a:ext cx="115824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chemeClr val="bg1"/>
              </a:solidFill>
              <a:latin typeface="Times New Roman" panose="02020603050405020304" pitchFamily="18" charset="0"/>
              <a:cs typeface="Times New Roman" panose="02020603050405020304" pitchFamily="18" charset="0"/>
            </a:rPr>
            <a:t> </a:t>
          </a:r>
          <a:r>
            <a:rPr lang="en-IN" sz="2000" b="1">
              <a:solidFill>
                <a:schemeClr val="bg1"/>
              </a:solidFill>
              <a:latin typeface="Times New Roman" panose="02020603050405020304" pitchFamily="18" charset="0"/>
              <a:cs typeface="Times New Roman" panose="02020603050405020304" pitchFamily="18" charset="0"/>
            </a:rPr>
            <a:t>Amount</a:t>
          </a:r>
        </a:p>
      </xdr:txBody>
    </xdr:sp>
    <xdr:clientData/>
  </xdr:oneCellAnchor>
  <xdr:twoCellAnchor editAs="oneCell">
    <xdr:from>
      <xdr:col>2</xdr:col>
      <xdr:colOff>297180</xdr:colOff>
      <xdr:row>9</xdr:row>
      <xdr:rowOff>175260</xdr:rowOff>
    </xdr:from>
    <xdr:to>
      <xdr:col>3</xdr:col>
      <xdr:colOff>144780</xdr:colOff>
      <xdr:row>12</xdr:row>
      <xdr:rowOff>45720</xdr:rowOff>
    </xdr:to>
    <xdr:pic>
      <xdr:nvPicPr>
        <xdr:cNvPr id="19" name="Picture 18">
          <a:extLst>
            <a:ext uri="{FF2B5EF4-FFF2-40B4-BE49-F238E27FC236}">
              <a16:creationId xmlns:a16="http://schemas.microsoft.com/office/drawing/2014/main" id="{CA1D3E6B-09AA-45A7-877D-BA2E0293955E}"/>
            </a:ext>
          </a:extLst>
        </xdr:cNvPr>
        <xdr:cNvPicPr>
          <a:picLocks noChangeAspect="1"/>
        </xdr:cNvPicPr>
      </xdr:nvPicPr>
      <xdr:blipFill>
        <a:blip xmlns:r="http://schemas.openxmlformats.org/officeDocument/2006/relationships" r:embed="rId3" cstate="print">
          <a:lum bright="70000" contrast="-70000"/>
          <a:extLst>
            <a:ext uri="{28A0092B-C50C-407E-A947-70E740481C1C}">
              <a14:useLocalDpi xmlns:a14="http://schemas.microsoft.com/office/drawing/2010/main" val="0"/>
            </a:ext>
          </a:extLst>
        </a:blip>
        <a:srcRect/>
        <a:stretch/>
      </xdr:blipFill>
      <xdr:spPr>
        <a:xfrm>
          <a:off x="434340" y="1821180"/>
          <a:ext cx="457200" cy="419100"/>
        </a:xfrm>
        <a:prstGeom prst="rect">
          <a:avLst/>
        </a:prstGeom>
      </xdr:spPr>
    </xdr:pic>
    <xdr:clientData/>
  </xdr:twoCellAnchor>
  <xdr:oneCellAnchor>
    <xdr:from>
      <xdr:col>3</xdr:col>
      <xdr:colOff>45028</xdr:colOff>
      <xdr:row>13</xdr:row>
      <xdr:rowOff>121312</xdr:rowOff>
    </xdr:from>
    <xdr:ext cx="900545" cy="311496"/>
    <xdr:sp macro="" textlink="'pivot tabel'!C11">
      <xdr:nvSpPr>
        <xdr:cNvPr id="20" name="TextBox 19">
          <a:extLst>
            <a:ext uri="{FF2B5EF4-FFF2-40B4-BE49-F238E27FC236}">
              <a16:creationId xmlns:a16="http://schemas.microsoft.com/office/drawing/2014/main" id="{F3A9D0F0-D4CF-4021-BF89-0DD609062AA4}"/>
            </a:ext>
          </a:extLst>
        </xdr:cNvPr>
        <xdr:cNvSpPr txBox="1"/>
      </xdr:nvSpPr>
      <xdr:spPr>
        <a:xfrm>
          <a:off x="791788" y="2498752"/>
          <a:ext cx="9005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622B1ECB-73EF-4AA5-A69E-9C0BC92068AF}" type="TxLink">
            <a:rPr lang="en-US" sz="1400" b="1" i="0" u="none" strike="noStrike">
              <a:solidFill>
                <a:schemeClr val="bg1"/>
              </a:solidFill>
              <a:latin typeface="Calibri"/>
              <a:ea typeface="Calibri"/>
              <a:cs typeface="Calibri"/>
            </a:rPr>
            <a:pPr algn="ctr"/>
            <a:t>16651</a:t>
          </a:fld>
          <a:endParaRPr lang="en-IN" sz="1400" b="1">
            <a:solidFill>
              <a:schemeClr val="bg1"/>
            </a:solidFill>
          </a:endParaRPr>
        </a:p>
      </xdr:txBody>
    </xdr:sp>
    <xdr:clientData/>
  </xdr:oneCellAnchor>
  <xdr:oneCellAnchor>
    <xdr:from>
      <xdr:col>3</xdr:col>
      <xdr:colOff>0</xdr:colOff>
      <xdr:row>17</xdr:row>
      <xdr:rowOff>0</xdr:rowOff>
    </xdr:from>
    <xdr:ext cx="1196340" cy="327660"/>
    <xdr:sp macro="" textlink="">
      <xdr:nvSpPr>
        <xdr:cNvPr id="21" name="TextBox 20">
          <a:extLst>
            <a:ext uri="{FF2B5EF4-FFF2-40B4-BE49-F238E27FC236}">
              <a16:creationId xmlns:a16="http://schemas.microsoft.com/office/drawing/2014/main" id="{65D66917-D371-4F9D-A078-6314211A2D99}"/>
            </a:ext>
          </a:extLst>
        </xdr:cNvPr>
        <xdr:cNvSpPr txBox="1"/>
      </xdr:nvSpPr>
      <xdr:spPr>
        <a:xfrm>
          <a:off x="746760" y="3108960"/>
          <a:ext cx="119634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bg1"/>
              </a:solidFill>
              <a:latin typeface="Times New Roman" panose="02020603050405020304" pitchFamily="18" charset="0"/>
              <a:cs typeface="Times New Roman" panose="02020603050405020304" pitchFamily="18" charset="0"/>
            </a:rPr>
            <a:t>Duration</a:t>
          </a:r>
        </a:p>
      </xdr:txBody>
    </xdr:sp>
    <xdr:clientData/>
  </xdr:oneCellAnchor>
  <xdr:oneCellAnchor>
    <xdr:from>
      <xdr:col>2</xdr:col>
      <xdr:colOff>525780</xdr:colOff>
      <xdr:row>23</xdr:row>
      <xdr:rowOff>22860</xdr:rowOff>
    </xdr:from>
    <xdr:ext cx="1424940" cy="327660"/>
    <xdr:sp macro="" textlink="">
      <xdr:nvSpPr>
        <xdr:cNvPr id="22" name="TextBox 21">
          <a:extLst>
            <a:ext uri="{FF2B5EF4-FFF2-40B4-BE49-F238E27FC236}">
              <a16:creationId xmlns:a16="http://schemas.microsoft.com/office/drawing/2014/main" id="{6F8B4C60-F236-40FD-A2AE-93DB0F61C946}"/>
            </a:ext>
          </a:extLst>
        </xdr:cNvPr>
        <xdr:cNvSpPr txBox="1"/>
      </xdr:nvSpPr>
      <xdr:spPr>
        <a:xfrm>
          <a:off x="662940" y="4229100"/>
          <a:ext cx="142494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b="1">
              <a:solidFill>
                <a:schemeClr val="bg1"/>
              </a:solidFill>
              <a:latin typeface="Times New Roman" panose="02020603050405020304" pitchFamily="18" charset="0"/>
              <a:cs typeface="Times New Roman" panose="02020603050405020304" pitchFamily="18" charset="0"/>
            </a:rPr>
            <a:t>Avg.Rating</a:t>
          </a:r>
        </a:p>
      </xdr:txBody>
    </xdr:sp>
    <xdr:clientData/>
  </xdr:oneCellAnchor>
  <xdr:oneCellAnchor>
    <xdr:from>
      <xdr:col>2</xdr:col>
      <xdr:colOff>403860</xdr:colOff>
      <xdr:row>29</xdr:row>
      <xdr:rowOff>99060</xdr:rowOff>
    </xdr:from>
    <xdr:ext cx="1714500" cy="327660"/>
    <xdr:sp macro="" textlink="">
      <xdr:nvSpPr>
        <xdr:cNvPr id="23" name="TextBox 22">
          <a:extLst>
            <a:ext uri="{FF2B5EF4-FFF2-40B4-BE49-F238E27FC236}">
              <a16:creationId xmlns:a16="http://schemas.microsoft.com/office/drawing/2014/main" id="{4FC99E47-243A-46E4-90D0-FADCB93C4CB2}"/>
            </a:ext>
          </a:extLst>
        </xdr:cNvPr>
        <xdr:cNvSpPr txBox="1"/>
      </xdr:nvSpPr>
      <xdr:spPr>
        <a:xfrm>
          <a:off x="541020" y="5402580"/>
          <a:ext cx="1714500" cy="3276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2000">
              <a:solidFill>
                <a:schemeClr val="bg1"/>
              </a:solidFill>
              <a:latin typeface="Times New Roman" panose="02020603050405020304" pitchFamily="18" charset="0"/>
              <a:cs typeface="Times New Roman" panose="02020603050405020304" pitchFamily="18" charset="0"/>
            </a:rPr>
            <a:t> </a:t>
          </a:r>
          <a:r>
            <a:rPr lang="en-IN" sz="1800" b="1">
              <a:solidFill>
                <a:schemeClr val="bg1"/>
              </a:solidFill>
              <a:latin typeface="Times New Roman" panose="02020603050405020304" pitchFamily="18" charset="0"/>
              <a:cs typeface="Times New Roman" panose="02020603050405020304" pitchFamily="18" charset="0"/>
            </a:rPr>
            <a:t>Happy</a:t>
          </a:r>
          <a:r>
            <a:rPr lang="en-IN" sz="1800" b="1" baseline="0">
              <a:solidFill>
                <a:schemeClr val="bg1"/>
              </a:solidFill>
              <a:latin typeface="Times New Roman" panose="02020603050405020304" pitchFamily="18" charset="0"/>
              <a:cs typeface="Times New Roman" panose="02020603050405020304" pitchFamily="18" charset="0"/>
            </a:rPr>
            <a:t> Calls</a:t>
          </a:r>
          <a:endParaRPr lang="en-IN" sz="1800" b="1">
            <a:solidFill>
              <a:schemeClr val="bg1"/>
            </a:solidFill>
            <a:latin typeface="Times New Roman" panose="02020603050405020304" pitchFamily="18" charset="0"/>
            <a:cs typeface="Times New Roman" panose="02020603050405020304" pitchFamily="18" charset="0"/>
          </a:endParaRPr>
        </a:p>
      </xdr:txBody>
    </xdr:sp>
    <xdr:clientData/>
  </xdr:oneCellAnchor>
  <xdr:twoCellAnchor editAs="oneCell">
    <xdr:from>
      <xdr:col>2</xdr:col>
      <xdr:colOff>182880</xdr:colOff>
      <xdr:row>17</xdr:row>
      <xdr:rowOff>11430</xdr:rowOff>
    </xdr:from>
    <xdr:to>
      <xdr:col>3</xdr:col>
      <xdr:colOff>129540</xdr:colOff>
      <xdr:row>19</xdr:row>
      <xdr:rowOff>22860</xdr:rowOff>
    </xdr:to>
    <xdr:pic>
      <xdr:nvPicPr>
        <xdr:cNvPr id="24" name="Picture 23">
          <a:extLst>
            <a:ext uri="{FF2B5EF4-FFF2-40B4-BE49-F238E27FC236}">
              <a16:creationId xmlns:a16="http://schemas.microsoft.com/office/drawing/2014/main" id="{22C4B324-A7A0-404E-96E9-7CE0AF7A47A3}"/>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rcRect/>
        <a:stretch/>
      </xdr:blipFill>
      <xdr:spPr>
        <a:xfrm>
          <a:off x="320040" y="3120390"/>
          <a:ext cx="556260" cy="377190"/>
        </a:xfrm>
        <a:prstGeom prst="rect">
          <a:avLst/>
        </a:prstGeom>
      </xdr:spPr>
    </xdr:pic>
    <xdr:clientData/>
  </xdr:twoCellAnchor>
  <xdr:oneCellAnchor>
    <xdr:from>
      <xdr:col>2</xdr:col>
      <xdr:colOff>586048</xdr:colOff>
      <xdr:row>20</xdr:row>
      <xdr:rowOff>90832</xdr:rowOff>
    </xdr:from>
    <xdr:ext cx="900545" cy="311496"/>
    <xdr:sp macro="" textlink="'pivot tabel'!B11">
      <xdr:nvSpPr>
        <xdr:cNvPr id="25" name="TextBox 24">
          <a:extLst>
            <a:ext uri="{FF2B5EF4-FFF2-40B4-BE49-F238E27FC236}">
              <a16:creationId xmlns:a16="http://schemas.microsoft.com/office/drawing/2014/main" id="{7E81A6D2-A024-4E9D-A9D4-460E07573E35}"/>
            </a:ext>
          </a:extLst>
        </xdr:cNvPr>
        <xdr:cNvSpPr txBox="1"/>
      </xdr:nvSpPr>
      <xdr:spPr>
        <a:xfrm>
          <a:off x="723208" y="3748432"/>
          <a:ext cx="900545"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CA36809-C5CA-4E2A-849D-3C1B83CCA7C5}" type="TxLink">
            <a:rPr lang="en-US" sz="1400" b="1" i="0" u="none" strike="noStrike">
              <a:solidFill>
                <a:schemeClr val="bg1"/>
              </a:solidFill>
              <a:latin typeface="Calibri"/>
              <a:ea typeface="Calibri"/>
              <a:cs typeface="Calibri"/>
            </a:rPr>
            <a:pPr algn="ctr"/>
            <a:t>17807</a:t>
          </a:fld>
          <a:endParaRPr lang="en-IN" sz="1400" b="1">
            <a:solidFill>
              <a:schemeClr val="bg1"/>
            </a:solidFill>
          </a:endParaRPr>
        </a:p>
      </xdr:txBody>
    </xdr:sp>
    <xdr:clientData/>
  </xdr:oneCellAnchor>
  <xdr:twoCellAnchor editAs="oneCell">
    <xdr:from>
      <xdr:col>2</xdr:col>
      <xdr:colOff>226695</xdr:colOff>
      <xdr:row>23</xdr:row>
      <xdr:rowOff>34290</xdr:rowOff>
    </xdr:from>
    <xdr:to>
      <xdr:col>2</xdr:col>
      <xdr:colOff>603885</xdr:colOff>
      <xdr:row>25</xdr:row>
      <xdr:rowOff>45720</xdr:rowOff>
    </xdr:to>
    <xdr:pic>
      <xdr:nvPicPr>
        <xdr:cNvPr id="26" name="Picture 25">
          <a:extLst>
            <a:ext uri="{FF2B5EF4-FFF2-40B4-BE49-F238E27FC236}">
              <a16:creationId xmlns:a16="http://schemas.microsoft.com/office/drawing/2014/main" id="{88DB5120-C211-444F-B5D6-4A718EDF38CA}"/>
            </a:ext>
          </a:extLst>
        </xdr:cNvPr>
        <xdr:cNvPicPr>
          <a:picLocks noChangeAspect="1"/>
        </xdr:cNvPicPr>
      </xdr:nvPicPr>
      <xdr:blipFill>
        <a:blip xmlns:r="http://schemas.openxmlformats.org/officeDocument/2006/relationships" r:embed="rId5" cstate="print">
          <a:lum bright="70000" contrast="-70000"/>
          <a:extLst>
            <a:ext uri="{28A0092B-C50C-407E-A947-70E740481C1C}">
              <a14:useLocalDpi xmlns:a14="http://schemas.microsoft.com/office/drawing/2010/main" val="0"/>
            </a:ext>
          </a:extLst>
        </a:blip>
        <a:srcRect/>
        <a:stretch/>
      </xdr:blipFill>
      <xdr:spPr>
        <a:xfrm>
          <a:off x="363855" y="4240530"/>
          <a:ext cx="377190" cy="377190"/>
        </a:xfrm>
        <a:prstGeom prst="rect">
          <a:avLst/>
        </a:prstGeom>
      </xdr:spPr>
    </xdr:pic>
    <xdr:clientData/>
  </xdr:twoCellAnchor>
  <xdr:oneCellAnchor>
    <xdr:from>
      <xdr:col>2</xdr:col>
      <xdr:colOff>563188</xdr:colOff>
      <xdr:row>27</xdr:row>
      <xdr:rowOff>7417</xdr:rowOff>
    </xdr:from>
    <xdr:ext cx="900545" cy="280205"/>
    <xdr:sp macro="" textlink="'pivot tabel'!D11">
      <xdr:nvSpPr>
        <xdr:cNvPr id="27" name="TextBox 26">
          <a:extLst>
            <a:ext uri="{FF2B5EF4-FFF2-40B4-BE49-F238E27FC236}">
              <a16:creationId xmlns:a16="http://schemas.microsoft.com/office/drawing/2014/main" id="{497C7672-97BE-40C6-835E-AE29F82A84B0}"/>
            </a:ext>
          </a:extLst>
        </xdr:cNvPr>
        <xdr:cNvSpPr txBox="1"/>
      </xdr:nvSpPr>
      <xdr:spPr>
        <a:xfrm>
          <a:off x="700348" y="4945177"/>
          <a:ext cx="900545"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4C4A55E6-33AE-40AE-9234-6B8C54947732}" type="TxLink">
            <a:rPr lang="en-US" sz="1200" b="1" i="0" u="none" strike="noStrike">
              <a:solidFill>
                <a:schemeClr val="bg1"/>
              </a:solidFill>
              <a:latin typeface="Calibri"/>
              <a:ea typeface="Calibri"/>
              <a:cs typeface="Calibri"/>
            </a:rPr>
            <a:pPr algn="ctr"/>
            <a:t>3.9</a:t>
          </a:fld>
          <a:endParaRPr lang="en-IN" sz="1200" b="1">
            <a:solidFill>
              <a:schemeClr val="bg1"/>
            </a:solidFill>
          </a:endParaRPr>
        </a:p>
      </xdr:txBody>
    </xdr:sp>
    <xdr:clientData/>
  </xdr:oneCellAnchor>
  <xdr:twoCellAnchor editAs="oneCell">
    <xdr:from>
      <xdr:col>2</xdr:col>
      <xdr:colOff>236220</xdr:colOff>
      <xdr:row>29</xdr:row>
      <xdr:rowOff>121920</xdr:rowOff>
    </xdr:from>
    <xdr:to>
      <xdr:col>3</xdr:col>
      <xdr:colOff>3810</xdr:colOff>
      <xdr:row>31</xdr:row>
      <xdr:rowOff>133350</xdr:rowOff>
    </xdr:to>
    <xdr:pic>
      <xdr:nvPicPr>
        <xdr:cNvPr id="28" name="Picture 27">
          <a:extLst>
            <a:ext uri="{FF2B5EF4-FFF2-40B4-BE49-F238E27FC236}">
              <a16:creationId xmlns:a16="http://schemas.microsoft.com/office/drawing/2014/main" id="{577CA46E-7735-4CEF-84D8-5E548619D203}"/>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rcRect/>
        <a:stretch/>
      </xdr:blipFill>
      <xdr:spPr>
        <a:xfrm>
          <a:off x="373380" y="5425440"/>
          <a:ext cx="377190" cy="377190"/>
        </a:xfrm>
        <a:prstGeom prst="rect">
          <a:avLst/>
        </a:prstGeom>
      </xdr:spPr>
    </xdr:pic>
    <xdr:clientData/>
  </xdr:twoCellAnchor>
  <xdr:oneCellAnchor>
    <xdr:from>
      <xdr:col>2</xdr:col>
      <xdr:colOff>502920</xdr:colOff>
      <xdr:row>33</xdr:row>
      <xdr:rowOff>91238</xdr:rowOff>
    </xdr:from>
    <xdr:ext cx="990600" cy="280205"/>
    <xdr:sp macro="" textlink="'pivot tabel'!E11">
      <xdr:nvSpPr>
        <xdr:cNvPr id="29" name="TextBox 28">
          <a:extLst>
            <a:ext uri="{FF2B5EF4-FFF2-40B4-BE49-F238E27FC236}">
              <a16:creationId xmlns:a16="http://schemas.microsoft.com/office/drawing/2014/main" id="{AF114487-A53B-4A58-9A03-134B7BED9B1B}"/>
            </a:ext>
          </a:extLst>
        </xdr:cNvPr>
        <xdr:cNvSpPr txBox="1"/>
      </xdr:nvSpPr>
      <xdr:spPr>
        <a:xfrm>
          <a:off x="640080" y="6126278"/>
          <a:ext cx="990600"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1FE3E7AC-FC90-48B0-B089-34ED054A4290}" type="TxLink">
            <a:rPr lang="en-US" sz="1200" b="1" i="0" u="none" strike="noStrike">
              <a:solidFill>
                <a:schemeClr val="bg1"/>
              </a:solidFill>
              <a:latin typeface="Calibri"/>
              <a:ea typeface="Calibri"/>
              <a:cs typeface="Calibri"/>
            </a:rPr>
            <a:pPr algn="ctr"/>
            <a:t>62</a:t>
          </a:fld>
          <a:endParaRPr lang="en-IN" sz="1200" b="1">
            <a:solidFill>
              <a:schemeClr val="bg1"/>
            </a:solidFill>
          </a:endParaRPr>
        </a:p>
      </xdr:txBody>
    </xdr:sp>
    <xdr:clientData/>
  </xdr:oneCellAnchor>
  <xdr:twoCellAnchor>
    <xdr:from>
      <xdr:col>5</xdr:col>
      <xdr:colOff>518160</xdr:colOff>
      <xdr:row>7</xdr:row>
      <xdr:rowOff>53340</xdr:rowOff>
    </xdr:from>
    <xdr:to>
      <xdr:col>13</xdr:col>
      <xdr:colOff>7620</xdr:colOff>
      <xdr:row>20</xdr:row>
      <xdr:rowOff>129540</xdr:rowOff>
    </xdr:to>
    <xdr:graphicFrame macro="">
      <xdr:nvGraphicFramePr>
        <xdr:cNvPr id="30" name="Chart 29">
          <a:extLst>
            <a:ext uri="{FF2B5EF4-FFF2-40B4-BE49-F238E27FC236}">
              <a16:creationId xmlns:a16="http://schemas.microsoft.com/office/drawing/2014/main" id="{E2C035F5-83AC-4A7A-8EF0-65BCCDBF37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13</xdr:col>
      <xdr:colOff>297180</xdr:colOff>
      <xdr:row>21</xdr:row>
      <xdr:rowOff>167641</xdr:rowOff>
    </xdr:from>
    <xdr:to>
      <xdr:col>15</xdr:col>
      <xdr:colOff>464820</xdr:colOff>
      <xdr:row>31</xdr:row>
      <xdr:rowOff>53340</xdr:rowOff>
    </xdr:to>
    <mc:AlternateContent xmlns:mc="http://schemas.openxmlformats.org/markup-compatibility/2006" xmlns:a14="http://schemas.microsoft.com/office/drawing/2010/main">
      <mc:Choice Requires="a14">
        <xdr:graphicFrame macro="">
          <xdr:nvGraphicFramePr>
            <xdr:cNvPr id="31" name="Representative 1">
              <a:extLst>
                <a:ext uri="{FF2B5EF4-FFF2-40B4-BE49-F238E27FC236}">
                  <a16:creationId xmlns:a16="http://schemas.microsoft.com/office/drawing/2014/main" id="{CE165A1B-6A93-4E8B-A455-4B84EBF0D027}"/>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mlns="">
        <xdr:sp macro="" textlink="">
          <xdr:nvSpPr>
            <xdr:cNvPr id="0" name=""/>
            <xdr:cNvSpPr>
              <a:spLocks noTextEdit="1"/>
            </xdr:cNvSpPr>
          </xdr:nvSpPr>
          <xdr:spPr>
            <a:xfrm>
              <a:off x="7139940" y="4008121"/>
              <a:ext cx="1386840" cy="1714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525780</xdr:colOff>
      <xdr:row>21</xdr:row>
      <xdr:rowOff>45720</xdr:rowOff>
    </xdr:from>
    <xdr:to>
      <xdr:col>9</xdr:col>
      <xdr:colOff>236220</xdr:colOff>
      <xdr:row>38</xdr:row>
      <xdr:rowOff>167640</xdr:rowOff>
    </xdr:to>
    <xdr:graphicFrame macro="">
      <xdr:nvGraphicFramePr>
        <xdr:cNvPr id="3" name="Chart 2">
          <a:extLst>
            <a:ext uri="{FF2B5EF4-FFF2-40B4-BE49-F238E27FC236}">
              <a16:creationId xmlns:a16="http://schemas.microsoft.com/office/drawing/2014/main" id="{340E101B-9BD7-485B-B407-6319D98728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205740</xdr:colOff>
      <xdr:row>21</xdr:row>
      <xdr:rowOff>53340</xdr:rowOff>
    </xdr:from>
    <xdr:to>
      <xdr:col>13</xdr:col>
      <xdr:colOff>327660</xdr:colOff>
      <xdr:row>38</xdr:row>
      <xdr:rowOff>160020</xdr:rowOff>
    </xdr:to>
    <xdr:graphicFrame macro="">
      <xdr:nvGraphicFramePr>
        <xdr:cNvPr id="4" name="Chart 3">
          <a:extLst>
            <a:ext uri="{FF2B5EF4-FFF2-40B4-BE49-F238E27FC236}">
              <a16:creationId xmlns:a16="http://schemas.microsoft.com/office/drawing/2014/main" id="{CB8FB55F-1F50-4EC8-A1AB-27E22126F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541020</xdr:colOff>
      <xdr:row>21</xdr:row>
      <xdr:rowOff>38100</xdr:rowOff>
    </xdr:from>
    <xdr:to>
      <xdr:col>13</xdr:col>
      <xdr:colOff>327660</xdr:colOff>
      <xdr:row>38</xdr:row>
      <xdr:rowOff>160020</xdr:rowOff>
    </xdr:to>
    <xdr:sp macro="" textlink="">
      <xdr:nvSpPr>
        <xdr:cNvPr id="32" name="Rectangle 31">
          <a:extLst>
            <a:ext uri="{FF2B5EF4-FFF2-40B4-BE49-F238E27FC236}">
              <a16:creationId xmlns:a16="http://schemas.microsoft.com/office/drawing/2014/main" id="{CF666A72-C99C-C859-4E6B-C4666B857072}"/>
            </a:ext>
          </a:extLst>
        </xdr:cNvPr>
        <xdr:cNvSpPr/>
      </xdr:nvSpPr>
      <xdr:spPr>
        <a:xfrm>
          <a:off x="2506980" y="3878580"/>
          <a:ext cx="4663440" cy="323088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297180</xdr:colOff>
      <xdr:row>7</xdr:row>
      <xdr:rowOff>152400</xdr:rowOff>
    </xdr:from>
    <xdr:to>
      <xdr:col>20</xdr:col>
      <xdr:colOff>91440</xdr:colOff>
      <xdr:row>19</xdr:row>
      <xdr:rowOff>144780</xdr:rowOff>
    </xdr:to>
    <xdr:graphicFrame macro="">
      <xdr:nvGraphicFramePr>
        <xdr:cNvPr id="6" name="Chart 5">
          <a:extLst>
            <a:ext uri="{FF2B5EF4-FFF2-40B4-BE49-F238E27FC236}">
              <a16:creationId xmlns:a16="http://schemas.microsoft.com/office/drawing/2014/main" id="{D272495E-6E7C-4837-AB26-DC9F9D7E3C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20</xdr:col>
      <xdr:colOff>190500</xdr:colOff>
      <xdr:row>8</xdr:row>
      <xdr:rowOff>7620</xdr:rowOff>
    </xdr:from>
    <xdr:to>
      <xdr:col>23</xdr:col>
      <xdr:colOff>68580</xdr:colOff>
      <xdr:row>19</xdr:row>
      <xdr:rowOff>152400</xdr:rowOff>
    </xdr:to>
    <xdr:graphicFrame macro="">
      <xdr:nvGraphicFramePr>
        <xdr:cNvPr id="15" name="Chart 14">
          <a:extLst>
            <a:ext uri="{FF2B5EF4-FFF2-40B4-BE49-F238E27FC236}">
              <a16:creationId xmlns:a16="http://schemas.microsoft.com/office/drawing/2014/main" id="{6A8982FD-E021-4255-A9A8-D21FAC0C86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480060</xdr:colOff>
      <xdr:row>7</xdr:row>
      <xdr:rowOff>0</xdr:rowOff>
    </xdr:from>
    <xdr:to>
      <xdr:col>7</xdr:col>
      <xdr:colOff>784860</xdr:colOff>
      <xdr:row>19</xdr:row>
      <xdr:rowOff>89535</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235405B8-0651-295F-1089-078A4E34D4D3}"/>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46329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685800</xdr:colOff>
      <xdr:row>17</xdr:row>
      <xdr:rowOff>125730</xdr:rowOff>
    </xdr:from>
    <xdr:to>
      <xdr:col>14</xdr:col>
      <xdr:colOff>411480</xdr:colOff>
      <xdr:row>32</xdr:row>
      <xdr:rowOff>125730</xdr:rowOff>
    </xdr:to>
    <xdr:graphicFrame macro="">
      <xdr:nvGraphicFramePr>
        <xdr:cNvPr id="4" name="Chart 3">
          <a:extLst>
            <a:ext uri="{FF2B5EF4-FFF2-40B4-BE49-F238E27FC236}">
              <a16:creationId xmlns:a16="http://schemas.microsoft.com/office/drawing/2014/main" id="{FBCAC044-384F-F8A0-D195-6269C6408D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137160</xdr:colOff>
      <xdr:row>38</xdr:row>
      <xdr:rowOff>80010</xdr:rowOff>
    </xdr:from>
    <xdr:to>
      <xdr:col>12</xdr:col>
      <xdr:colOff>815340</xdr:colOff>
      <xdr:row>53</xdr:row>
      <xdr:rowOff>80010</xdr:rowOff>
    </xdr:to>
    <xdr:graphicFrame macro="">
      <xdr:nvGraphicFramePr>
        <xdr:cNvPr id="12" name="Chart 11">
          <a:extLst>
            <a:ext uri="{FF2B5EF4-FFF2-40B4-BE49-F238E27FC236}">
              <a16:creationId xmlns:a16="http://schemas.microsoft.com/office/drawing/2014/main" id="{8403956A-8F20-078A-A2C4-A4FED8095F6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800100</xdr:colOff>
      <xdr:row>38</xdr:row>
      <xdr:rowOff>175260</xdr:rowOff>
    </xdr:from>
    <xdr:to>
      <xdr:col>15</xdr:col>
      <xdr:colOff>563880</xdr:colOff>
      <xdr:row>52</xdr:row>
      <xdr:rowOff>167640</xdr:rowOff>
    </xdr:to>
    <xdr:graphicFrame macro="">
      <xdr:nvGraphicFramePr>
        <xdr:cNvPr id="13" name="Chart 12">
          <a:extLst>
            <a:ext uri="{FF2B5EF4-FFF2-40B4-BE49-F238E27FC236}">
              <a16:creationId xmlns:a16="http://schemas.microsoft.com/office/drawing/2014/main" id="{60E4E543-4A9F-4B20-8A6B-5D830334C1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739140</xdr:colOff>
      <xdr:row>53</xdr:row>
      <xdr:rowOff>171450</xdr:rowOff>
    </xdr:from>
    <xdr:to>
      <xdr:col>12</xdr:col>
      <xdr:colOff>1043940</xdr:colOff>
      <xdr:row>68</xdr:row>
      <xdr:rowOff>171450</xdr:rowOff>
    </xdr:to>
    <xdr:graphicFrame macro="">
      <xdr:nvGraphicFramePr>
        <xdr:cNvPr id="3" name="Chart 2">
          <a:extLst>
            <a:ext uri="{FF2B5EF4-FFF2-40B4-BE49-F238E27FC236}">
              <a16:creationId xmlns:a16="http://schemas.microsoft.com/office/drawing/2014/main" id="{1F815E15-574F-6E2E-39BB-ED37718354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0.594065972226" backgroundQuery="1" createdVersion="8" refreshedVersion="8" minRefreshableVersion="3" recordCount="0" supportSubquery="1" supportAdvancedDrill="1" xr:uid="{1707C23B-5EEB-4C2F-A416-1783644681A0}">
  <cacheSource type="external" connectionId="2"/>
  <cacheFields count="3">
    <cacheField name="[Measures].[TOTAL CALLS]" caption="TOTAL CALLS" numFmtId="0" hierarchy="22" level="32767"/>
    <cacheField name="[Measures].[TOTAL AMOUNT]" caption="TOTAL AMOUNT" numFmtId="0" hierarchy="24" level="32767"/>
    <cacheField name="[calls].[Representative].[Representative]" caption="Representative" numFmtId="0" hierarchy="3" level="1">
      <sharedItems count="5">
        <s v="R01"/>
        <s v="R02"/>
        <s v="R03"/>
        <s v="R04"/>
        <s v="R05"/>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0"/>
      </fieldsUsage>
    </cacheHierarchy>
    <cacheHierarchy uniqueName="[Measures].[CALL DURATION]" caption="CALL DURATION" measure="1" displayFolder="" measureGroup="calls" count="0"/>
    <cacheHierarchy uniqueName="[Measures].[TOTAL AMOUNT]" caption="TOTAL AMOUNT" measure="1" displayFolder="" measureGroup="calls" count="0" oneField="1">
      <fieldsUsage count="1">
        <fieldUsage x="1"/>
      </fieldsUsage>
    </cacheHierarchy>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0.683949999999" backgroundQuery="1" createdVersion="8" refreshedVersion="8" minRefreshableVersion="3" recordCount="0" supportSubquery="1" supportAdvancedDrill="1" xr:uid="{F1989A2A-D139-43A6-A46E-AE7DC57A7145}">
  <cacheSource type="external" connectionId="2"/>
  <cacheFields count="3">
    <cacheField name="[Measures].[TOTAL CALLS]" caption="TOTAL CALLS" numFmtId="0" hierarchy="22" level="32767"/>
    <cacheField name="[customer].[Gedner].[Gedner]" caption="Gedner" numFmtId="0" hierarchy="16" level="1">
      <sharedItems count="2">
        <s v="Female"/>
        <s v="Male"/>
      </sharedItems>
    </cacheField>
    <cacheField name="[customer].[City].[City]" caption="City" numFmtId="0" hierarchy="18" level="1">
      <sharedItems count="3">
        <s v="Cincinnati"/>
        <s v="Cleveland"/>
        <s v="Columbus"/>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2" memberValueDatatype="130" unbalanced="0">
      <fieldsUsage count="2">
        <fieldUsage x="-1"/>
        <fieldUsage x="1"/>
      </fieldsUsage>
    </cacheHierarchy>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2"/>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0"/>
      </fieldsUsage>
    </cacheHierarchy>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0.533454398152" backgroundQuery="1" createdVersion="8" refreshedVersion="8" minRefreshableVersion="3" recordCount="0" supportSubquery="1" supportAdvancedDrill="1" xr:uid="{E585941A-E7F6-4314-96F8-8CCAB18DDCDE}">
  <cacheSource type="external" connectionId="2"/>
  <cacheFields count="5">
    <cacheField name="[Measures].[TOTAL CALLS]" caption="TOTAL CALLS" numFmtId="0" hierarchy="22" level="32767"/>
    <cacheField name="[Measures].[CALL DURATION]" caption="CALL DURATION" numFmtId="0" hierarchy="23" level="32767"/>
    <cacheField name="[Measures].[TOTAL AMOUNT]" caption="TOTAL AMOUNT" numFmtId="0" hierarchy="24" level="32767"/>
    <cacheField name="[Measures].[AVG.RATING]" caption="AVG.RATING" numFmtId="0" hierarchy="25" level="32767"/>
    <cacheField name="[Measures].[5*CALL]" caption="5*CALL" numFmtId="0" hierarchy="26" level="32767"/>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0"/>
      </fieldsUsage>
    </cacheHierarchy>
    <cacheHierarchy uniqueName="[Measures].[CALL DURATION]" caption="CALL DURATION"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 caption="5*CALL" measure="1" displayFolder="" measureGroup="calls" count="0" oneField="1">
      <fieldsUsage count="1">
        <fieldUsage x="4"/>
      </fieldsUsage>
    </cacheHierarchy>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0.752680439815" backgroundQuery="1" createdVersion="8" refreshedVersion="8" minRefreshableVersion="3" recordCount="0" supportSubquery="1" supportAdvancedDrill="1" xr:uid="{9234E900-8859-4D5D-96AF-2C15A8B8BD9D}">
  <cacheSource type="external" connectionId="2"/>
  <cacheFields count="4">
    <cacheField name="[customer].[City].[City]" caption="City" numFmtId="0" hierarchy="18" level="1">
      <sharedItems count="3">
        <s v="Cincinnati"/>
        <s v="Cleveland"/>
        <s v="Columbus"/>
      </sharedItems>
    </cacheField>
    <cacheField name="[calls].[Customer ID].[Customer ID]" caption="Customer ID" numFmtId="0" hierarchy="1" level="1">
      <sharedItems count="15">
        <s v="C0003"/>
        <s v="C0004"/>
        <s v="C0011"/>
        <s v="C0012"/>
        <s v="C0002"/>
        <s v="C0007"/>
        <s v="C0008"/>
        <s v="C0010"/>
        <s v="C0013"/>
        <s v="C0015"/>
        <s v="C0001"/>
        <s v="C0005"/>
        <s v="C0006"/>
        <s v="C0009"/>
        <s v="C0014"/>
      </sharedItems>
    </cacheField>
    <cacheField name="[Measures].[total amount']" caption="total amount'" numFmtId="0" hierarchy="28" level="32767"/>
    <cacheField name="[calls].[Representative].[Representative]" caption="Representative" numFmtId="0" hierarchy="3" level="1">
      <sharedItems count="5">
        <s v="R01"/>
        <s v="R02"/>
        <s v="R03"/>
        <s v="R04"/>
        <s v="R05"/>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2" memberValueDatatype="130" unbalanced="0">
      <fieldsUsage count="2">
        <fieldUsage x="-1"/>
        <fieldUsage x="1"/>
      </fieldsUsage>
    </cacheHierarchy>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3"/>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oneField="1">
      <fieldsUsage count="1">
        <fieldUsage x="2"/>
      </fieldsUsage>
    </cacheHierarchy>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1.26217361111" backgroundQuery="1" createdVersion="8" refreshedVersion="8" minRefreshableVersion="3" recordCount="0" supportSubquery="1" supportAdvancedDrill="1" xr:uid="{AE33206B-62FD-4B82-A3DC-CBBD92D415E5}">
  <cacheSource type="external" connectionId="2"/>
  <cacheFields count="6">
    <cacheField name="[Measures].[TOTAL CALLS]" caption="TOTAL CALLS" numFmtId="0" hierarchy="22" level="32767"/>
    <cacheField name="[Measures].[CALL DURATION]" caption="CALL DURATION" numFmtId="0" hierarchy="23" level="32767"/>
    <cacheField name="[Measures].[TOTAL AMOUNT]" caption="TOTAL AMOUNT" numFmtId="0" hierarchy="24" level="32767"/>
    <cacheField name="[Measures].[AVG.RATING]" caption="AVG.RATING" numFmtId="0" hierarchy="25" level="32767"/>
    <cacheField name="[Measures].[5*CALL]" caption="5*CALL" numFmtId="0" hierarchy="26" level="32767"/>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0"/>
      </fieldsUsage>
    </cacheHierarchy>
    <cacheHierarchy uniqueName="[Measures].[CALL DURATION]" caption="CALL DURATION"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AVG.RATING]" caption="AVG.RATING" measure="1" displayFolder="" measureGroup="calls" count="0" oneField="1">
      <fieldsUsage count="1">
        <fieldUsage x="3"/>
      </fieldsUsage>
    </cacheHierarchy>
    <cacheHierarchy uniqueName="[Measures].[5*CALL]" caption="5*CALL" measure="1" displayFolder="" measureGroup="calls" count="0" oneField="1">
      <fieldsUsage count="1">
        <fieldUsage x="4"/>
      </fieldsUsage>
    </cacheHierarchy>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1.262174074072" backgroundQuery="1" createdVersion="8" refreshedVersion="8" minRefreshableVersion="3" recordCount="0" supportSubquery="1" supportAdvancedDrill="1" xr:uid="{70ABC1E6-F22C-4DF8-A94D-87463F4D0246}">
  <cacheSource type="external" connectionId="2"/>
  <cacheFields count="4">
    <cacheField name="[calls].[Representative].[Representative]" caption="Representative" numFmtId="0" hierarchy="3" level="1">
      <sharedItems containsSemiMixedTypes="0" containsNonDate="0" containsString="0"/>
    </cacheField>
    <cacheField name="[calls].[Date of Call (Month)].[Date of Call (Month)]" caption="Date of Call (Month)" numFmtId="0" hierarchy="14" level="1">
      <sharedItems count="12">
        <s v="Jan"/>
        <s v="Feb"/>
        <s v="Mar"/>
        <s v="Apr"/>
        <s v="May"/>
        <s v="Jun"/>
        <s v="Jul"/>
        <s v="Aug"/>
        <s v="Sep"/>
        <s v="Oct"/>
        <s v="Nov"/>
        <s v="Dec"/>
      </sharedItems>
    </cacheField>
    <cacheField name="[Measures].[TOTAL CALLS]" caption="TOTAL CALLS" numFmtId="0" hierarchy="22" level="32767"/>
    <cacheField name="Unsupported0" numFmtId="0" hierarchy="32" level="32767">
      <extLst>
        <ext xmlns:x14="http://schemas.microsoft.com/office/spreadsheetml/2009/9/main" uri="{63CAB8AC-B538-458d-9737-405883B0398D}">
          <x14:cacheField ignore="1"/>
        </ext>
      </extLst>
    </cacheField>
  </cacheFields>
  <cacheHierarchies count="33">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1"/>
      </fieldsUsage>
    </cacheHierarchy>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2"/>
      </fieldsUsage>
    </cacheHierarchy>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1.262174537034" backgroundQuery="1" createdVersion="8" refreshedVersion="8" minRefreshableVersion="3" recordCount="0" supportSubquery="1" supportAdvancedDrill="1" xr:uid="{070672A5-BDAE-4D53-90A1-D67CD070DBFC}">
  <cacheSource type="external" connectionId="2"/>
  <cacheFields count="3">
    <cacheField name="[calls].[Representative].[Representative]" caption="Representative" numFmtId="0" hierarchy="3" level="1">
      <sharedItems containsSemiMixedTypes="0" containsNonDate="0" containsString="0"/>
    </cacheField>
    <cacheField name="[Measures].[TOTAL CALLS]" caption="TOTAL CALLS" numFmtId="0" hierarchy="22" level="32767"/>
    <cacheField name="[calls].[DAYS].[DAYS]" caption="DAYS" numFmtId="0" hierarchy="7" level="1">
      <sharedItems count="7">
        <s v="Friday"/>
        <s v="Monday"/>
        <s v="Saturday"/>
        <s v="Sunday"/>
        <s v="Thursday"/>
        <s v="Tuesday"/>
        <s v="Wednesday"/>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2" memberValueDatatype="130" unbalanced="0">
      <fieldsUsage count="2">
        <fieldUsage x="-1"/>
        <fieldUsage x="2"/>
      </fieldsUsage>
    </cacheHierarchy>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1"/>
      </fieldsUsage>
    </cacheHierarchy>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1.262175000003" backgroundQuery="1" createdVersion="8" refreshedVersion="8" minRefreshableVersion="3" recordCount="0" supportSubquery="1" supportAdvancedDrill="1" xr:uid="{CE4EB731-3B98-4431-B140-5BCFE4E74B8B}">
  <cacheSource type="external" connectionId="2"/>
  <cacheFields count="1">
    <cacheField name="[calls].[Representative].[Representative]" caption="Representative" numFmtId="0" hierarchy="3" level="1">
      <sharedItems count="1">
        <s v="R04"/>
      </sharedItems>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1.262175347219" backgroundQuery="1" createdVersion="8" refreshedVersion="8" minRefreshableVersion="3" recordCount="0" supportSubquery="1" supportAdvancedDrill="1" xr:uid="{A82B32BA-446A-41FA-84F9-5D4F0DA8106F}">
  <cacheSource type="external" connectionId="2"/>
  <cacheFields count="3">
    <cacheField name="[Measures].[TOTAL CALLS]" caption="TOTAL CALLS" numFmtId="0" hierarchy="22" level="32767"/>
    <cacheField name="[calls].[ROUND].[ROUND]" caption="ROUND" numFmtId="0" hierarchy="8"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OUND].&amp;[1]"/>
            <x15:cachedUniqueName index="1" name="[calls].[ROUND].&amp;[2]"/>
            <x15:cachedUniqueName index="2" name="[calls].[ROUND].&amp;[3]"/>
            <x15:cachedUniqueName index="3" name="[calls].[ROUND].&amp;[4]"/>
            <x15:cachedUniqueName index="4" name="[calls].[ROUND].&amp;[5]"/>
          </x15:cachedUniqueNames>
        </ext>
      </extLst>
    </cacheField>
    <cacheField name="[calls].[Representative].[Representative]" caption="Representative" numFmtId="0" hierarchy="3" level="1">
      <sharedItems containsSemiMixedTypes="0" containsNonDate="0" containsString="0"/>
    </cacheField>
  </cacheFields>
  <cacheHierarchies count="32">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2" memberValueDatatype="20" unbalanced="0">
      <fieldsUsage count="2">
        <fieldUsage x="-1"/>
        <fieldUsage x="1"/>
      </fieldsUsage>
    </cacheHierarchy>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Sum of Age]" caption="Sum of Age" measure="1" displayFolder="" measureGroup="customer" count="0">
      <extLst>
        <ext xmlns:x15="http://schemas.microsoft.com/office/spreadsheetml/2010/11/main" uri="{B97F6D7D-B522-45F9-BDA1-12C45D357490}">
          <x15:cacheHierarchy aggregatedColumn="17"/>
        </ext>
      </extLst>
    </cacheHierarchy>
    <cacheHierarchy uniqueName="[Measures].[Sum of ROUND]" caption="Sum of ROUND" measure="1" displayFolder="" measureGroup="calls" count="0">
      <extLst>
        <ext xmlns:x15="http://schemas.microsoft.com/office/spreadsheetml/2010/11/main" uri="{B97F6D7D-B522-45F9-BDA1-12C45D357490}">
          <x15:cacheHierarchy aggregatedColumn="8"/>
        </ext>
      </extLst>
    </cacheHierarchy>
    <cacheHierarchy uniqueName="[Measures].[TOTAL CALLS]" caption="TOTAL CALLS" measure="1" displayFolder="" measureGroup="calls" count="0" oneField="1">
      <fieldsUsage count="1">
        <fieldUsage x="0"/>
      </fieldsUsage>
    </cacheHierarchy>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total count]" caption="total count" measure="1" displayFolder="" measureGroup="calls" count="0"/>
    <cacheHierarchy uniqueName="[Measures].[total amount']" caption="total amount'"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dimensions count="3">
    <dimension name="calls" uniqueName="[calls]" caption="calls"/>
    <dimension name="customer" uniqueName="[customer]" caption="customer"/>
    <dimension measure="1" name="Measures" uniqueName="[Measures]" caption="Measures"/>
  </dimensions>
  <measureGroups count="2">
    <measureGroup name="calls" caption="calls"/>
    <measureGroup name="customer" caption="customer"/>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dhamodaravel dhamu" refreshedDate="46140.533447453701" backgroundQuery="1" createdVersion="3" refreshedVersion="8" minRefreshableVersion="3" recordCount="0" supportSubquery="1" supportAdvancedDrill="1" xr:uid="{EA766B71-8751-42F3-95D1-16C1D135C7E2}">
  <cacheSource type="external" connectionId="2">
    <extLst>
      <ext xmlns:x14="http://schemas.microsoft.com/office/spreadsheetml/2009/9/main" uri="{F057638F-6D5F-4e77-A914-E7F072B9BCA8}">
        <x14:sourceConnection name="ThisWorkbookDataModel"/>
      </ext>
    </extLst>
  </cacheSource>
  <cacheFields count="0"/>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DAYS]" caption="DAYS" attribute="1" defaultMemberUniqueName="[calls].[DAYS].[All]" allUniqueName="[calls].[DAYS].[All]" dimensionUniqueName="[calls]" displayFolder="" count="0" memberValueDatatype="130" unbalanced="0"/>
    <cacheHierarchy uniqueName="[calls].[ROUND]" caption="ROUND" attribute="1" defaultMemberUniqueName="[calls].[ROUND].[All]" allUniqueName="[calls].[ROUND].[All]" dimensionUniqueName="[calls]" displayFolder="" count="0" memberValueDatatype="20" unbalanced="0"/>
    <cacheHierarchy uniqueName="[calls].[Column1]" caption="Column1" attribute="1" defaultMemberUniqueName="[calls].[Column1].[All]" allUniqueName="[calls].[Column1].[All]" dimensionUniqueName="[calls]" displayFolder="" count="0" memberValueDatatype="130" unbalanced="0"/>
    <cacheHierarchy uniqueName="[calls].[Gedner]" caption="Gedner" attribute="1" defaultMemberUniqueName="[calls].[Gedner].[All]" allUniqueName="[calls].[Gedner].[All]" dimensionUniqueName="[calls]" displayFolder="" count="0" memberValueDatatype="130" unbalanced="0"/>
    <cacheHierarchy uniqueName="[calls].[Age]" caption="Age" attribute="1" defaultMemberUniqueName="[calls].[Age].[All]" allUniqueName="[calls].[Age].[All]" dimensionUniqueName="[calls]" displayFolder="" count="0" memberValueDatatype="20" unbalanced="0"/>
    <cacheHierarchy uniqueName="[calls].[City]" caption="City" attribute="1" defaultMemberUniqueName="[calls].[City].[All]" allUniqueName="[calls].[City].[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Customer ID_1]" caption="Customer ID_1" attribute="1" defaultMemberUniqueName="[customer].[Customer ID_1].[All]" allUniqueName="[customer].[Customer ID_1].[All]" dimensionUniqueName="[customer]" displayFolder="" count="0" memberValueDatatype="130" unbalanced="0"/>
    <cacheHierarchy uniqueName="[customer].[Gedner]" caption="Gedner" attribute="1" defaultMemberUniqueName="[customer].[Gedner].[All]" allUniqueName="[customer].[Gedner].[All]" dimensionUniqueName="[customer]" displayFolder="" count="0" memberValueDatatype="130" unbalanced="0"/>
    <cacheHierarchy uniqueName="[customer].[Age]" caption="Age" attribute="1" defaultMemberUniqueName="[customer].[Age].[All]" allUniqueName="[customer].[Age].[All]" dimensionUniqueName="[customer]" displayFolder="" count="0" memberValueDatatype="20" unbalanced="0"/>
    <cacheHierarchy uniqueName="[customer].[City]" caption="City" attribute="1" defaultMemberUniqueName="[customer].[City].[All]" allUniqueName="[customer].[City].[All]" dimensionUniqueName="[customer]"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TOTAL CALLS]" caption="TOTAL CALLS" measure="1" displayFolder="" measureGroup="calls" count="0"/>
    <cacheHierarchy uniqueName="[Measures].[CALL DURATION]" caption="CALL DURATION" measure="1" displayFolder="" measureGroup="calls" count="0"/>
    <cacheHierarchy uniqueName="[Measures].[TOTAL AMOUNT]" caption="TOTAL AMOUNT" measure="1" displayFolder="" measureGroup="calls" count="0"/>
    <cacheHierarchy uniqueName="[Measures].[AVG.RATING]" caption="AVG.RATING" measure="1" displayFolder="" measureGroup="calls" count="0"/>
    <cacheHierarchy uniqueName="[Measures].[5*CALL]" caption="5*CALL" measure="1" displayFolder="" measureGroup="calls" count="0"/>
    <cacheHierarchy uniqueName="[Measures].[__XL_Count customer]" caption="__XL_Count customer" measure="1" displayFolder="" measureGroup="customer" count="0" hidden="1"/>
    <cacheHierarchy uniqueName="[Measures].[__XL_Count calls]" caption="__XL_Count calls" measure="1" displayFolder="" measureGroup="ca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046689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E2CE8E-E3C7-4E99-8941-D4717DFA7ED7}" name="Pivot satisfaction" cacheId="8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A68:B74"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2">
    <chartFormat chart="4"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41CEBC4-0FB3-49C4-8542-F1D0B6307DE2}" name="PivotTable2"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911729-4511-4E33-BC64-1B13C924045B}" name="PivotTable4" cacheId="7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B35:C43" firstHeaderRow="1" firstDataRow="1" firstDataCol="1"/>
  <pivotFields count="3">
    <pivotField allDrilled="1" subtotalTop="0" showAll="0" dataSourceSort="1" defaultSubtotal="0" defaultAttributeDrillState="1"/>
    <pivotField dataField="1" subtotalTop="0" showAll="0" defaultSubtotal="0"/>
    <pivotField axis="axisRow" allDrilled="1" subtotalTop="0" showAll="0" sortType="ascending" defaultSubtotal="0" defaultAttributeDrillState="1">
      <items count="7">
        <item x="3"/>
        <item x="1"/>
        <item x="5"/>
        <item x="6"/>
        <item x="4"/>
        <item x="0"/>
        <item x="2"/>
      </items>
    </pivotField>
  </pivotFields>
  <rowFields count="1">
    <field x="2"/>
  </rowFields>
  <rowItems count="8">
    <i>
      <x/>
    </i>
    <i>
      <x v="1"/>
    </i>
    <i>
      <x v="2"/>
    </i>
    <i>
      <x v="3"/>
    </i>
    <i>
      <x v="4"/>
    </i>
    <i>
      <x v="5"/>
    </i>
    <i>
      <x v="6"/>
    </i>
    <i t="grand">
      <x/>
    </i>
  </rowItems>
  <colItems count="1">
    <i/>
  </colItems>
  <dataFields count="1">
    <dataField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E1E7F48-067D-481C-9C13-A1A2A15B3A75}" name="PivotTable1" cacheId="75" applyNumberFormats="0" applyBorderFormats="0" applyFontFormats="0" applyPatternFormats="0" applyAlignmentFormats="0" applyWidthHeightFormats="1" dataCaption="Values" updatedVersion="8" minRefreshableVersion="3" useAutoFormatting="1" subtotalHiddenItems="1" itemPrintTitles="1" createdVersion="8" indent="0" showHeaders="0" outline="1" outlineData="1" multipleFieldFilters="0" chartFormat="20">
  <location ref="A17:C30" firstHeaderRow="0"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fld="2" subtotal="count" baseField="0" baseItem="0"/>
    <dataField name="TOTAL CALLS2" fld="3" subtotal="count" baseField="0" baseItem="0">
      <extLst>
        <ext xmlns:x14="http://schemas.microsoft.com/office/spreadsheetml/2009/9/main" uri="{E15A36E0-9728-4e99-A89B-3F7291B0FE68}">
          <x14:dataField sourceField="2" uniqueName="[__Xl2].[Measures].[TOTAL CALLS]"/>
        </ext>
      </extLst>
    </dataField>
  </dataFields>
  <chartFormats count="4">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13" format="4" series="1">
      <pivotArea type="data" outline="0" fieldPosition="0">
        <references count="1">
          <reference field="4294967294" count="1" selected="0">
            <x v="1"/>
          </reference>
        </references>
      </pivotArea>
    </chartFormat>
    <chartFormat chart="13" format="5" series="1">
      <pivotArea type="data" outline="0" fieldPosition="0">
        <references count="1">
          <reference field="4294967294" count="1" selected="0">
            <x v="0"/>
          </reference>
        </references>
      </pivotArea>
    </chartFormat>
  </chartFormats>
  <pivotHierarchies count="33">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50974CE-967B-4BD1-B565-715D97E343EE}" name="PivotTable3"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10:E11"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32">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197FF39-D0B3-4E20-BD7F-E4E0BB6BEAEC}" name="PivotTable13" cacheId="8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54:G5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2">
    <i>
      <x/>
    </i>
    <i t="grand">
      <x/>
    </i>
  </rowItem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B4797E-C692-4FAB-972A-314B0BC715E8}"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48:D54" firstHeaderRow="0" firstDataRow="1" firstDataCol="1"/>
  <pivotFields count="3">
    <pivotField dataField="1" subtotalTop="0" showAll="0" defaultSubtotal="0"/>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Fields count="1">
    <field x="-2"/>
  </colFields>
  <colItems count="2">
    <i>
      <x/>
    </i>
    <i i="1">
      <x v="1"/>
    </i>
  </colItems>
  <dataFields count="2">
    <dataField fld="0" subtotal="count" baseField="0" baseItem="0"/>
    <dataField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F76F740-9713-4422-929E-D089FA43F185}" name="PivotTable6"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C59:F64"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Fields count="1">
    <field x="1"/>
  </colFields>
  <colItems count="3">
    <i>
      <x/>
    </i>
    <i>
      <x v="1"/>
    </i>
    <i t="grand">
      <x/>
    </i>
  </colItems>
  <dataFields count="1">
    <dataField fld="0" subtotal="count" baseField="0" baseItem="0"/>
  </dataFields>
  <chartFormats count="6">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2" series="1">
      <pivotArea type="data" outline="0" fieldPosition="0">
        <references count="2">
          <reference field="4294967294" count="1" selected="0">
            <x v="0"/>
          </reference>
          <reference field="1" count="1" selected="0">
            <x v="0"/>
          </reference>
        </references>
      </pivotArea>
    </chartFormat>
    <chartFormat chart="2" format="3" series="1">
      <pivotArea type="data" outline="0" fieldPosition="0">
        <references count="2">
          <reference field="4294967294" count="1" selected="0">
            <x v="0"/>
          </reference>
          <reference field="1" count="1" selected="0">
            <x v="1"/>
          </reference>
        </references>
      </pivotArea>
    </chartFormat>
    <chartFormat chart="3" format="4" series="1">
      <pivotArea type="data" outline="0" fieldPosition="0">
        <references count="2">
          <reference field="4294967294" count="1" selected="0">
            <x v="0"/>
          </reference>
          <reference field="1" count="1" selected="0">
            <x v="0"/>
          </reference>
        </references>
      </pivotArea>
    </chartFormat>
    <chartFormat chart="3" format="5" series="1">
      <pivotArea type="data" outline="0" fieldPosition="0">
        <references count="2">
          <reference field="4294967294" count="1" selected="0">
            <x v="0"/>
          </reference>
          <reference field="1" count="1" selected="0">
            <x v="1"/>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colHierarchiesUsage count="1">
    <colHierarchyUsage hierarchyUsage="1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ECE37B-C59E-4C55-AAA5-BBE89741B40E}" name="PivotTable8" cacheId="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7">
  <location ref="A77:G96"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3"/>
  </colFields>
  <colItems count="6">
    <i>
      <x/>
    </i>
    <i>
      <x v="1"/>
    </i>
    <i>
      <x v="2"/>
    </i>
    <i>
      <x v="3"/>
    </i>
    <i>
      <x v="4"/>
    </i>
    <i t="grand">
      <x/>
    </i>
  </colItems>
  <dataFields count="1">
    <dataField fld="2" subtotal="count" baseField="0" baseItem="0"/>
  </dataFields>
  <pivotHierarchies count="32">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 "/>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8"/>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1BE103C-2083-471A-8EAE-47065ADE9989}" autoFormatId="16" applyNumberFormats="0" applyBorderFormats="0" applyFontFormats="0" applyPatternFormats="0" applyAlignmentFormats="0" applyWidthHeightFormats="0">
  <queryTableRefresh nextId="15">
    <queryTableFields count="14">
      <queryTableField id="1" name="Call number" tableColumnId="1"/>
      <queryTableField id="2" name="Customer ID" tableColumnId="2"/>
      <queryTableField id="3" name="Duration" tableColumnId="3"/>
      <queryTableField id="4" name="Representative" tableColumnId="4"/>
      <queryTableField id="5" name="Date of Call" tableColumnId="5"/>
      <queryTableField id="6" name="Purchase Amount" tableColumnId="6"/>
      <queryTableField id="7" name="Satisfaction Rating" tableColumnId="7"/>
      <queryTableField id="8" name="Column8" tableColumnId="8"/>
      <queryTableField id="9" name="Column11" tableColumnId="9"/>
      <queryTableField id="10" name="Customer ID_1" tableColumnId="10"/>
      <queryTableField id="11" name="Gedner" tableColumnId="11"/>
      <queryTableField id="12" name="Age" tableColumnId="12"/>
      <queryTableField id="13" name="City" tableColumnId="13"/>
      <queryTableField id="14" name="Column8 - Copy"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9CC4339A-6710-4932-97A7-08B642A69406}" sourceName="[calls].[Representative]">
  <pivotTables>
    <pivotTable tabId="5" name="PivotTable3"/>
    <pivotTable tabId="5" name="PivotTable1"/>
    <pivotTable tabId="5" name="PivotTable4"/>
    <pivotTable tabId="5" name="PivotTable13"/>
    <pivotTable tabId="5" name="Pivot satisfaction"/>
  </pivotTables>
  <data>
    <olap pivotCacheId="15046689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42A2872A-63F6-4BEA-B3AA-DE69EC59E2E8}" cache="Slicer_Representative" caption="Representative" level="1"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0B0C484-BC38-4B9D-8326-84804C2DB4D8}" cache="Slicer_Representative" caption="Representative"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07A38A-38A8-49F0-A1A5-C2C341E57391}" name="calls" displayName="calls" ref="A1:N1001" tableType="queryTable" totalsRowShown="0">
  <autoFilter ref="A1:N1001" xr:uid="{A307A38A-38A8-49F0-A1A5-C2C341E57391}"/>
  <tableColumns count="14">
    <tableColumn id="1" xr3:uid="{72E15A12-40C1-4135-BADF-8210367574B3}" uniqueName="1" name="Call number" queryTableFieldId="1" dataDxfId="16"/>
    <tableColumn id="2" xr3:uid="{B3F08A93-1C2E-4ACF-BBF7-8DE8FC89E011}" uniqueName="2" name="Customer ID" queryTableFieldId="2" dataDxfId="15"/>
    <tableColumn id="3" xr3:uid="{66BCB753-1DE2-47FE-A57B-5A3DC4EE16A3}" uniqueName="3" name="Duration" queryTableFieldId="3"/>
    <tableColumn id="4" xr3:uid="{7D12C23E-92C7-499D-B63D-13FEBEB4B6FB}" uniqueName="4" name="Representative" queryTableFieldId="4" dataDxfId="14"/>
    <tableColumn id="5" xr3:uid="{B544BD9D-A945-49C5-825C-898CA18E82E8}" uniqueName="5" name="Date of Call" queryTableFieldId="5" dataDxfId="13"/>
    <tableColumn id="6" xr3:uid="{5E6D65E3-026D-4D17-81CF-FF3580FF3ED7}" uniqueName="6" name="Purchase Amount" queryTableFieldId="6"/>
    <tableColumn id="7" xr3:uid="{DEFD6A97-7ADD-453A-9950-6A2A0BC66CEB}" uniqueName="7" name="Satisfaction Rating" queryTableFieldId="7"/>
    <tableColumn id="8" xr3:uid="{DE51885A-72CA-465D-A16F-C88384182654}" uniqueName="8" name="DAYS" queryTableFieldId="8"/>
    <tableColumn id="9" xr3:uid="{09D5E774-084C-4F3B-A716-DAB7948ABE28}" uniqueName="9" name="ROUND" queryTableFieldId="9"/>
    <tableColumn id="10" xr3:uid="{160A0A6D-5DEE-4C34-A8EA-36B94AD2B422}" uniqueName="10" name="Column1" queryTableFieldId="10" dataDxfId="12"/>
    <tableColumn id="11" xr3:uid="{B911DCD9-14DB-42A4-A200-0D947F3D5AD6}" uniqueName="11" name="Gedner" queryTableFieldId="11" dataDxfId="11"/>
    <tableColumn id="12" xr3:uid="{7ACC25D5-BD0B-48A3-8E8E-18B014330ACC}" uniqueName="12" name="Age" queryTableFieldId="12"/>
    <tableColumn id="13" xr3:uid="{87609F4A-97B8-4962-9847-56D4988146A1}" uniqueName="13" name="City" queryTableFieldId="13" dataDxfId="10"/>
    <tableColumn id="14" xr3:uid="{633E47F7-7A49-4BCD-9B5C-C9E95389A364}" uniqueName="14" name="DURATION BUCKET" queryTableFieldId="1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8B2F5F-B294-41DC-A1C2-1364B7BFD8D5}" name="customer" displayName="customer" ref="Q2:T17" totalsRowShown="0" headerRowDxfId="9" dataDxfId="7" headerRowBorderDxfId="8" tableBorderDxfId="6" totalsRowBorderDxfId="5">
  <autoFilter ref="Q2:T17" xr:uid="{DC8B2F5F-B294-41DC-A1C2-1364B7BFD8D5}"/>
  <tableColumns count="4">
    <tableColumn id="1" xr3:uid="{2C79BCFB-1549-4BD0-B34B-CAA6A4E6019C}" name="Customer ID_1" dataDxfId="4"/>
    <tableColumn id="2" xr3:uid="{472CDFA8-B91F-4881-8501-16E2E91DF6E1}" name="Gedner" dataDxfId="3"/>
    <tableColumn id="3" xr3:uid="{66BACB37-0E2F-4D89-B381-8F254675C49E}" name="Age" dataDxfId="2"/>
    <tableColumn id="4" xr3:uid="{456BE415-AE0A-4B61-9742-A9C127B1F679}" name="City" dataDxfId="1"/>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2.xml"/><Relationship Id="rId5" Type="http://schemas.openxmlformats.org/officeDocument/2006/relationships/pivotTable" Target="../pivotTables/pivotTable5.xml"/><Relationship Id="rId10"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0618CA-7BFA-4CE7-9E52-DE0CEA8D42F5}">
  <dimension ref="B1:AC983"/>
  <sheetViews>
    <sheetView tabSelected="1" topLeftCell="C3" workbookViewId="0">
      <selection activeCell="P21" sqref="P21"/>
    </sheetView>
  </sheetViews>
  <sheetFormatPr defaultRowHeight="14.4" x14ac:dyDescent="0.3"/>
  <cols>
    <col min="1" max="1" width="2" customWidth="1"/>
    <col min="2" max="2" width="8.88671875" hidden="1" customWidth="1"/>
    <col min="23" max="23" width="10.109375" customWidth="1"/>
  </cols>
  <sheetData>
    <row r="1" spans="3:29" x14ac:dyDescent="0.3">
      <c r="C1" s="6"/>
      <c r="D1" s="6"/>
      <c r="E1" s="6"/>
      <c r="F1" s="6"/>
      <c r="G1" s="6"/>
      <c r="H1" s="6"/>
      <c r="I1" s="6"/>
      <c r="J1" s="6"/>
      <c r="K1" s="6"/>
      <c r="L1" s="6"/>
      <c r="M1" s="6"/>
      <c r="N1" s="6"/>
      <c r="O1" s="6"/>
      <c r="P1" s="6"/>
      <c r="Q1" s="6"/>
      <c r="R1" s="6"/>
      <c r="S1" s="6"/>
      <c r="T1" s="6"/>
      <c r="U1" s="6"/>
      <c r="V1" s="6"/>
      <c r="W1" s="6"/>
      <c r="X1" s="6"/>
      <c r="Y1" s="6"/>
      <c r="Z1" s="6"/>
      <c r="AA1" s="6"/>
      <c r="AB1" s="6"/>
      <c r="AC1" s="6"/>
    </row>
    <row r="2" spans="3:29" x14ac:dyDescent="0.3">
      <c r="C2" s="6"/>
      <c r="D2" s="6"/>
      <c r="E2" s="6"/>
      <c r="F2" s="6"/>
      <c r="G2" s="6"/>
      <c r="H2" s="6"/>
      <c r="I2" s="6"/>
      <c r="J2" s="6"/>
      <c r="K2" s="6"/>
      <c r="L2" s="6"/>
      <c r="M2" s="6"/>
      <c r="N2" s="6"/>
      <c r="O2" s="6"/>
      <c r="P2" s="6"/>
      <c r="Q2" s="6"/>
      <c r="R2" s="6"/>
      <c r="S2" s="6"/>
      <c r="T2" s="6"/>
      <c r="U2" s="6"/>
      <c r="V2" s="6"/>
      <c r="W2" s="6"/>
      <c r="X2" s="6"/>
      <c r="Y2" s="6"/>
      <c r="Z2" s="6"/>
      <c r="AA2" s="6"/>
      <c r="AB2" s="6"/>
      <c r="AC2" s="6"/>
    </row>
    <row r="3" spans="3:29" x14ac:dyDescent="0.3">
      <c r="C3" s="6"/>
      <c r="D3" s="6"/>
      <c r="E3" s="6"/>
      <c r="F3" s="6"/>
      <c r="G3" s="6"/>
      <c r="H3" s="6"/>
      <c r="I3" s="6"/>
      <c r="J3" s="6"/>
      <c r="K3" s="6"/>
      <c r="L3" s="6"/>
      <c r="M3" s="6"/>
      <c r="N3" s="6"/>
      <c r="O3" s="6"/>
      <c r="P3" s="6"/>
      <c r="Q3" s="6"/>
      <c r="R3" s="6"/>
      <c r="S3" s="6"/>
      <c r="T3" s="6"/>
      <c r="U3" s="6"/>
      <c r="V3" s="6"/>
      <c r="W3" s="6"/>
      <c r="X3" s="6"/>
      <c r="Y3" s="6"/>
      <c r="Z3" s="6"/>
      <c r="AA3" s="6"/>
      <c r="AB3" s="6"/>
      <c r="AC3" s="6"/>
    </row>
    <row r="4" spans="3:29" x14ac:dyDescent="0.3">
      <c r="C4" s="6"/>
      <c r="D4" s="6"/>
      <c r="E4" s="6"/>
      <c r="F4" s="6"/>
      <c r="G4" s="6"/>
      <c r="H4" s="6"/>
      <c r="I4" s="6"/>
      <c r="J4" s="6"/>
      <c r="K4" s="6"/>
      <c r="L4" s="6"/>
      <c r="M4" s="6"/>
      <c r="N4" s="6"/>
      <c r="O4" s="6"/>
      <c r="P4" s="6"/>
      <c r="Q4" s="6"/>
      <c r="R4" s="6"/>
      <c r="S4" s="6"/>
      <c r="T4" s="6"/>
      <c r="U4" s="6"/>
      <c r="V4" s="6"/>
      <c r="W4" s="6"/>
      <c r="X4" s="6"/>
      <c r="Y4" s="6"/>
      <c r="Z4" s="6"/>
      <c r="AA4" s="6"/>
      <c r="AB4" s="6"/>
      <c r="AC4" s="6"/>
    </row>
    <row r="5" spans="3:29" x14ac:dyDescent="0.3">
      <c r="C5" s="6"/>
      <c r="D5" s="6"/>
      <c r="E5" s="6"/>
      <c r="F5" s="6"/>
      <c r="G5" s="6"/>
      <c r="H5" s="6"/>
      <c r="I5" s="6"/>
      <c r="J5" s="6"/>
      <c r="K5" s="6"/>
      <c r="L5" s="6"/>
      <c r="M5" s="6"/>
      <c r="N5" s="6"/>
      <c r="O5" s="6"/>
      <c r="P5" s="6"/>
      <c r="Q5" s="6"/>
      <c r="R5" s="6"/>
      <c r="S5" s="6"/>
      <c r="T5" s="6"/>
      <c r="U5" s="6"/>
      <c r="V5" s="6"/>
      <c r="W5" s="6"/>
      <c r="X5" s="6"/>
      <c r="Y5" s="6"/>
      <c r="Z5" s="6"/>
      <c r="AA5" s="6"/>
      <c r="AB5" s="6"/>
      <c r="AC5" s="6"/>
    </row>
    <row r="6" spans="3:29" x14ac:dyDescent="0.3">
      <c r="C6" s="6"/>
      <c r="D6" s="6"/>
      <c r="E6" s="6"/>
      <c r="F6" s="6"/>
      <c r="G6" s="6"/>
      <c r="H6" s="6"/>
      <c r="I6" s="6"/>
      <c r="J6" s="6"/>
      <c r="K6" s="6"/>
      <c r="L6" s="6"/>
      <c r="M6" s="6"/>
      <c r="N6" s="6"/>
      <c r="O6" s="6"/>
      <c r="P6" s="6"/>
      <c r="Q6" s="6"/>
      <c r="R6" s="6"/>
      <c r="S6" s="6"/>
      <c r="T6" s="6"/>
      <c r="U6" s="6"/>
      <c r="V6" s="6"/>
      <c r="W6" s="6"/>
      <c r="X6" s="6"/>
      <c r="Y6" s="6"/>
      <c r="Z6" s="6"/>
      <c r="AA6" s="6"/>
      <c r="AB6" s="6"/>
      <c r="AC6" s="6"/>
    </row>
    <row r="7" spans="3:29" x14ac:dyDescent="0.3">
      <c r="C7" s="6"/>
      <c r="D7" s="6"/>
      <c r="E7" s="6"/>
      <c r="F7" s="6"/>
      <c r="G7" s="6"/>
      <c r="H7" s="6"/>
      <c r="I7" s="6"/>
      <c r="J7" s="6"/>
      <c r="K7" s="6"/>
      <c r="L7" s="6"/>
      <c r="M7" s="6"/>
      <c r="N7" s="6"/>
      <c r="O7" s="6"/>
      <c r="P7" s="6"/>
      <c r="Q7" s="6"/>
      <c r="R7" s="6"/>
      <c r="S7" s="6"/>
      <c r="T7" s="6"/>
      <c r="U7" s="6"/>
      <c r="V7" s="6"/>
      <c r="W7" s="6"/>
      <c r="X7" s="6"/>
      <c r="Y7" s="6"/>
      <c r="Z7" s="6"/>
      <c r="AA7" s="6"/>
      <c r="AB7" s="6"/>
      <c r="AC7" s="6"/>
    </row>
    <row r="8" spans="3:29" x14ac:dyDescent="0.3">
      <c r="C8" s="6"/>
      <c r="D8" s="6"/>
      <c r="E8" s="6"/>
      <c r="F8" s="6"/>
      <c r="G8" s="6"/>
      <c r="H8" s="6"/>
      <c r="I8" s="6"/>
      <c r="J8" s="6"/>
      <c r="K8" s="6"/>
      <c r="L8" s="6"/>
      <c r="M8" s="6"/>
      <c r="N8" s="6"/>
      <c r="O8" s="6"/>
      <c r="P8" s="6"/>
      <c r="Q8" s="6"/>
      <c r="R8" s="6"/>
      <c r="S8" s="6"/>
      <c r="T8" s="6"/>
      <c r="U8" s="6"/>
      <c r="V8" s="6"/>
      <c r="W8" s="6"/>
      <c r="X8" s="6"/>
      <c r="Y8" s="6"/>
      <c r="Z8" s="6"/>
      <c r="AA8" s="6"/>
      <c r="AB8" s="6"/>
      <c r="AC8" s="6"/>
    </row>
    <row r="9" spans="3:29" x14ac:dyDescent="0.3">
      <c r="C9" s="6"/>
      <c r="D9" s="6"/>
      <c r="E9" s="6"/>
      <c r="F9" s="6"/>
      <c r="G9" s="6"/>
      <c r="H9" s="6"/>
      <c r="I9" s="6"/>
      <c r="J9" s="6"/>
      <c r="K9" s="6"/>
      <c r="L9" s="6"/>
      <c r="M9" s="6"/>
      <c r="N9" s="6"/>
      <c r="O9" s="6"/>
      <c r="P9" s="6"/>
      <c r="Q9" s="6"/>
      <c r="R9" s="6"/>
      <c r="S9" s="6"/>
      <c r="T9" s="6"/>
      <c r="U9" s="6"/>
      <c r="V9" s="6"/>
      <c r="W9" s="6"/>
      <c r="X9" s="6"/>
      <c r="Y9" s="6"/>
      <c r="Z9" s="6"/>
      <c r="AA9" s="6"/>
      <c r="AB9" s="6"/>
      <c r="AC9" s="6"/>
    </row>
    <row r="10" spans="3:29" x14ac:dyDescent="0.3">
      <c r="C10" s="6"/>
      <c r="D10" s="6"/>
      <c r="E10" s="6"/>
      <c r="F10" s="6"/>
      <c r="G10" s="6"/>
      <c r="H10" s="6"/>
      <c r="I10" s="6"/>
      <c r="J10" s="6"/>
      <c r="K10" s="6"/>
      <c r="L10" s="6"/>
      <c r="M10" s="6"/>
      <c r="N10" s="6"/>
      <c r="O10" s="6"/>
      <c r="P10" s="6"/>
      <c r="Q10" s="6"/>
      <c r="R10" s="6"/>
      <c r="S10" s="6"/>
      <c r="T10" s="6"/>
      <c r="U10" s="6"/>
      <c r="V10" s="6"/>
      <c r="W10" s="6"/>
      <c r="X10" s="6"/>
      <c r="Y10" s="6"/>
      <c r="Z10" s="6"/>
      <c r="AA10" s="6"/>
      <c r="AB10" s="6"/>
      <c r="AC10" s="6"/>
    </row>
    <row r="11" spans="3:29" x14ac:dyDescent="0.3">
      <c r="C11" s="6"/>
      <c r="D11" s="6"/>
      <c r="E11" s="6"/>
      <c r="F11" s="6"/>
      <c r="G11" s="6"/>
      <c r="H11" s="6"/>
      <c r="I11" s="6"/>
      <c r="J11" s="6"/>
      <c r="K11" s="6"/>
      <c r="L11" s="6"/>
      <c r="M11" s="6"/>
      <c r="N11" s="6"/>
      <c r="O11" s="6"/>
      <c r="P11" s="6"/>
      <c r="Q11" s="6"/>
      <c r="R11" s="6"/>
      <c r="S11" s="6"/>
      <c r="T11" s="6"/>
      <c r="U11" s="6"/>
      <c r="V11" s="6"/>
      <c r="W11" s="6"/>
      <c r="X11" s="6"/>
      <c r="Y11" s="6"/>
      <c r="Z11" s="6"/>
      <c r="AA11" s="6"/>
      <c r="AB11" s="6"/>
      <c r="AC11" s="6"/>
    </row>
    <row r="12" spans="3:29" x14ac:dyDescent="0.3">
      <c r="C12" s="6"/>
      <c r="D12" s="6"/>
      <c r="E12" s="6"/>
      <c r="F12" s="6"/>
      <c r="G12" s="6"/>
      <c r="H12" s="6"/>
      <c r="I12" s="6"/>
      <c r="J12" s="6"/>
      <c r="K12" s="6"/>
      <c r="L12" s="6"/>
      <c r="M12" s="6"/>
      <c r="N12" s="6"/>
      <c r="O12" s="6"/>
      <c r="P12" s="6"/>
      <c r="Q12" s="6"/>
      <c r="R12" s="6"/>
      <c r="S12" s="6"/>
      <c r="T12" s="6"/>
      <c r="U12" s="6"/>
      <c r="V12" s="6"/>
      <c r="W12" s="6"/>
      <c r="X12" s="6"/>
      <c r="Y12" s="6"/>
      <c r="Z12" s="6"/>
      <c r="AA12" s="6"/>
      <c r="AB12" s="6"/>
      <c r="AC12" s="6"/>
    </row>
    <row r="13" spans="3:29" x14ac:dyDescent="0.3">
      <c r="C13" s="6"/>
      <c r="D13" s="6"/>
      <c r="E13" s="6"/>
      <c r="F13" s="6"/>
      <c r="G13" s="6"/>
      <c r="H13" s="6"/>
      <c r="I13" s="6"/>
      <c r="J13" s="6"/>
      <c r="K13" s="6"/>
      <c r="L13" s="6"/>
      <c r="M13" s="6"/>
      <c r="N13" s="6"/>
      <c r="O13" s="6"/>
      <c r="P13" s="6"/>
      <c r="Q13" s="6"/>
      <c r="R13" s="6"/>
      <c r="S13" s="6"/>
      <c r="T13" s="6"/>
      <c r="U13" s="6"/>
      <c r="V13" s="6"/>
      <c r="W13" s="6"/>
      <c r="X13" s="6"/>
      <c r="Y13" s="6"/>
      <c r="Z13" s="6"/>
      <c r="AA13" s="6"/>
      <c r="AB13" s="6"/>
      <c r="AC13" s="6"/>
    </row>
    <row r="14" spans="3:29" x14ac:dyDescent="0.3">
      <c r="C14" s="6"/>
      <c r="D14" s="6"/>
      <c r="E14" s="6"/>
      <c r="F14" s="6"/>
      <c r="G14" s="6"/>
      <c r="H14" s="6"/>
      <c r="I14" s="6"/>
      <c r="J14" s="6"/>
      <c r="K14" s="6"/>
      <c r="L14" s="6"/>
      <c r="M14" s="6"/>
      <c r="N14" s="6"/>
      <c r="O14" s="6"/>
      <c r="P14" s="6"/>
      <c r="Q14" s="6"/>
      <c r="R14" s="6"/>
      <c r="S14" s="6"/>
      <c r="T14" s="6"/>
      <c r="U14" s="6"/>
      <c r="V14" s="6"/>
      <c r="W14" s="6"/>
      <c r="X14" s="6"/>
      <c r="Y14" s="6"/>
      <c r="Z14" s="6"/>
      <c r="AA14" s="6"/>
      <c r="AB14" s="6"/>
      <c r="AC14" s="6"/>
    </row>
    <row r="15" spans="3:29" x14ac:dyDescent="0.3">
      <c r="C15" s="6"/>
      <c r="D15" s="6"/>
      <c r="E15" s="6"/>
      <c r="F15" s="6"/>
      <c r="G15" s="6"/>
      <c r="H15" s="6"/>
      <c r="I15" s="6"/>
      <c r="J15" s="6"/>
      <c r="K15" s="6"/>
      <c r="L15" s="6"/>
      <c r="M15" s="6"/>
      <c r="N15" s="6"/>
      <c r="O15" s="6"/>
      <c r="P15" s="6"/>
      <c r="Q15" s="6"/>
      <c r="R15" s="6"/>
      <c r="S15" s="6"/>
      <c r="T15" s="6"/>
      <c r="U15" s="6"/>
      <c r="V15" s="6"/>
      <c r="W15" s="6"/>
      <c r="X15" s="6"/>
      <c r="Y15" s="6"/>
      <c r="Z15" s="6"/>
      <c r="AA15" s="6"/>
      <c r="AB15" s="6"/>
      <c r="AC15" s="6"/>
    </row>
    <row r="16" spans="3:29" x14ac:dyDescent="0.3">
      <c r="C16" s="6"/>
      <c r="D16" s="6"/>
      <c r="E16" s="6"/>
      <c r="F16" s="6"/>
      <c r="G16" s="6"/>
      <c r="H16" s="6"/>
      <c r="I16" s="6"/>
      <c r="J16" s="6"/>
      <c r="K16" s="6"/>
      <c r="L16" s="6"/>
      <c r="M16" s="6"/>
      <c r="N16" s="6"/>
      <c r="O16" s="6"/>
      <c r="P16" s="6"/>
      <c r="Q16" s="6"/>
      <c r="R16" s="6"/>
      <c r="S16" s="6"/>
      <c r="T16" s="6"/>
      <c r="U16" s="6"/>
      <c r="V16" s="6"/>
      <c r="W16" s="6"/>
      <c r="X16" s="6"/>
      <c r="Y16" s="6"/>
      <c r="Z16" s="6"/>
      <c r="AA16" s="6"/>
      <c r="AB16" s="6"/>
      <c r="AC16" s="6"/>
    </row>
    <row r="17" spans="3:29" x14ac:dyDescent="0.3">
      <c r="C17" s="6"/>
      <c r="D17" s="6"/>
      <c r="E17" s="6"/>
      <c r="F17" s="6"/>
      <c r="G17" s="6"/>
      <c r="H17" s="6"/>
      <c r="I17" s="6"/>
      <c r="J17" s="6"/>
      <c r="K17" s="6"/>
      <c r="L17" s="6"/>
      <c r="M17" s="6"/>
      <c r="N17" s="6"/>
      <c r="O17" s="6"/>
      <c r="P17" s="6"/>
      <c r="Q17" s="6"/>
      <c r="R17" s="6"/>
      <c r="S17" s="6"/>
      <c r="T17" s="6"/>
      <c r="U17" s="6"/>
      <c r="V17" s="6"/>
      <c r="W17" s="6"/>
      <c r="X17" s="6"/>
      <c r="Y17" s="6"/>
      <c r="Z17" s="6"/>
      <c r="AA17" s="6"/>
      <c r="AB17" s="6"/>
      <c r="AC17" s="6"/>
    </row>
    <row r="18" spans="3:29" x14ac:dyDescent="0.3">
      <c r="C18" s="6"/>
      <c r="D18" s="6"/>
      <c r="E18" s="6"/>
      <c r="F18" s="6"/>
      <c r="G18" s="6"/>
      <c r="H18" s="6"/>
      <c r="I18" s="6"/>
      <c r="J18" s="6"/>
      <c r="K18" s="6"/>
      <c r="L18" s="6"/>
      <c r="M18" s="6"/>
      <c r="N18" s="6"/>
      <c r="O18" s="6"/>
      <c r="P18" s="6"/>
      <c r="Q18" s="6"/>
      <c r="R18" s="6"/>
      <c r="S18" s="6"/>
      <c r="T18" s="6"/>
      <c r="U18" s="6"/>
      <c r="V18" s="6"/>
      <c r="W18" s="6"/>
      <c r="X18" s="6"/>
      <c r="Y18" s="6"/>
      <c r="Z18" s="6"/>
      <c r="AA18" s="6"/>
      <c r="AB18" s="6"/>
      <c r="AC18" s="6"/>
    </row>
    <row r="19" spans="3:29" x14ac:dyDescent="0.3">
      <c r="C19" s="6"/>
      <c r="D19" s="6"/>
      <c r="E19" s="6"/>
      <c r="F19" s="6"/>
      <c r="G19" s="6"/>
      <c r="H19" s="6"/>
      <c r="I19" s="6"/>
      <c r="J19" s="6"/>
      <c r="K19" s="6"/>
      <c r="L19" s="6"/>
      <c r="M19" s="6"/>
      <c r="N19" s="6"/>
      <c r="O19" s="6"/>
      <c r="P19" s="6"/>
      <c r="Q19" s="6"/>
      <c r="R19" s="6"/>
      <c r="S19" s="6"/>
      <c r="T19" s="6"/>
      <c r="U19" s="6"/>
      <c r="V19" s="6"/>
      <c r="W19" s="6"/>
      <c r="X19" s="6"/>
      <c r="Y19" s="6"/>
      <c r="Z19" s="6"/>
      <c r="AA19" s="6"/>
      <c r="AB19" s="6"/>
      <c r="AC19" s="6"/>
    </row>
    <row r="20" spans="3:29" x14ac:dyDescent="0.3">
      <c r="C20" s="6"/>
      <c r="D20" s="6"/>
      <c r="E20" s="6"/>
      <c r="F20" s="6"/>
      <c r="G20" s="6"/>
      <c r="H20" s="6"/>
      <c r="I20" s="6"/>
      <c r="J20" s="6"/>
      <c r="K20" s="6"/>
      <c r="L20" s="6"/>
      <c r="M20" s="6"/>
      <c r="N20" s="6"/>
      <c r="O20" s="6"/>
      <c r="P20" s="6"/>
      <c r="Q20" s="6"/>
      <c r="R20" s="6"/>
      <c r="S20" s="6"/>
      <c r="T20" s="6"/>
      <c r="U20" s="6"/>
      <c r="V20" s="6"/>
      <c r="W20" s="6"/>
      <c r="X20" s="6"/>
      <c r="Y20" s="6"/>
      <c r="Z20" s="6"/>
      <c r="AA20" s="6"/>
      <c r="AB20" s="6"/>
      <c r="AC20" s="6"/>
    </row>
    <row r="21" spans="3:29" x14ac:dyDescent="0.3">
      <c r="C21" s="6"/>
      <c r="D21" s="6"/>
      <c r="E21" s="6"/>
      <c r="F21" s="6"/>
      <c r="G21" s="6"/>
      <c r="H21" s="6"/>
      <c r="I21" s="6"/>
      <c r="J21" s="6"/>
      <c r="K21" s="6"/>
      <c r="L21" s="6"/>
      <c r="M21" s="6"/>
      <c r="N21" s="6"/>
      <c r="O21" s="6"/>
      <c r="P21" s="6"/>
      <c r="Q21" s="11"/>
      <c r="R21" s="11" t="s">
        <v>29</v>
      </c>
      <c r="S21" s="11" t="s">
        <v>23</v>
      </c>
      <c r="T21" s="11" t="s">
        <v>42</v>
      </c>
      <c r="U21" s="11" t="s">
        <v>36</v>
      </c>
      <c r="V21" s="11" t="s">
        <v>13</v>
      </c>
      <c r="W21" s="11" t="s">
        <v>1045</v>
      </c>
      <c r="X21" s="6"/>
      <c r="Y21" s="6"/>
      <c r="Z21" s="6"/>
      <c r="AA21" s="6"/>
      <c r="AB21" s="6"/>
      <c r="AC21" s="6"/>
    </row>
    <row r="22" spans="3:29" x14ac:dyDescent="0.3">
      <c r="C22" s="6"/>
      <c r="D22" s="6"/>
      <c r="E22" s="6"/>
      <c r="F22" s="6"/>
      <c r="G22" s="6"/>
      <c r="H22" s="6"/>
      <c r="I22" s="6"/>
      <c r="J22" s="6"/>
      <c r="K22" s="6"/>
      <c r="L22" s="6"/>
      <c r="M22" s="6"/>
      <c r="N22" s="6"/>
      <c r="O22" s="6"/>
      <c r="P22" s="6"/>
      <c r="Q22" s="13" t="s">
        <v>24</v>
      </c>
      <c r="R22" s="14"/>
      <c r="S22" s="14"/>
      <c r="T22" s="14"/>
      <c r="U22" s="14"/>
      <c r="V22" s="14"/>
      <c r="W22" s="14"/>
      <c r="X22" s="6"/>
      <c r="Y22" s="6"/>
      <c r="Z22" s="6"/>
      <c r="AA22" s="6"/>
      <c r="AB22" s="6"/>
      <c r="AC22" s="6"/>
    </row>
    <row r="23" spans="3:29" x14ac:dyDescent="0.3">
      <c r="C23" s="6"/>
      <c r="D23" s="6"/>
      <c r="E23" s="6"/>
      <c r="F23" s="6"/>
      <c r="G23" s="6"/>
      <c r="H23" s="6"/>
      <c r="I23" s="6"/>
      <c r="J23" s="6"/>
      <c r="K23" s="6"/>
      <c r="L23" s="6"/>
      <c r="M23" s="6"/>
      <c r="N23" s="6"/>
      <c r="O23" s="6"/>
      <c r="P23" s="6"/>
      <c r="Q23" s="12" t="s">
        <v>12</v>
      </c>
      <c r="R23">
        <v>891</v>
      </c>
      <c r="S23">
        <v>1332</v>
      </c>
      <c r="T23">
        <v>1282</v>
      </c>
      <c r="U23">
        <v>739</v>
      </c>
      <c r="V23">
        <v>560</v>
      </c>
      <c r="W23">
        <v>4804</v>
      </c>
      <c r="X23" s="6"/>
      <c r="Y23" s="6"/>
      <c r="Z23" s="6"/>
      <c r="AA23" s="6"/>
      <c r="AB23" s="6"/>
      <c r="AC23" s="6"/>
    </row>
    <row r="24" spans="3:29" x14ac:dyDescent="0.3">
      <c r="C24" s="6"/>
      <c r="D24" s="6"/>
      <c r="E24" s="6"/>
      <c r="F24" s="6"/>
      <c r="G24" s="6"/>
      <c r="H24" s="6"/>
      <c r="I24" s="6"/>
      <c r="J24" s="6"/>
      <c r="K24" s="6"/>
      <c r="L24" s="6"/>
      <c r="M24" s="6"/>
      <c r="N24" s="6"/>
      <c r="O24" s="6"/>
      <c r="P24" s="6"/>
      <c r="Q24" s="12" t="s">
        <v>18</v>
      </c>
      <c r="R24">
        <v>1991</v>
      </c>
      <c r="S24">
        <v>1886</v>
      </c>
      <c r="T24">
        <v>1206</v>
      </c>
      <c r="U24">
        <v>884</v>
      </c>
      <c r="V24">
        <v>1722</v>
      </c>
      <c r="W24">
        <v>7689</v>
      </c>
      <c r="X24" s="6"/>
      <c r="Y24" s="6"/>
      <c r="Z24" s="6"/>
      <c r="AA24" s="6"/>
      <c r="AB24" s="6"/>
      <c r="AC24" s="6"/>
    </row>
    <row r="25" spans="3:29" x14ac:dyDescent="0.3">
      <c r="C25" s="6"/>
      <c r="D25" s="6"/>
      <c r="E25" s="6"/>
      <c r="F25" s="6"/>
      <c r="G25" s="6"/>
      <c r="H25" s="6"/>
      <c r="I25" s="6"/>
      <c r="J25" s="6"/>
      <c r="K25" s="6"/>
      <c r="L25" s="6"/>
      <c r="M25" s="6"/>
      <c r="N25" s="6"/>
      <c r="O25" s="6"/>
      <c r="P25" s="6"/>
      <c r="Q25" s="12" t="s">
        <v>28</v>
      </c>
      <c r="R25">
        <v>1163</v>
      </c>
      <c r="S25">
        <v>1180</v>
      </c>
      <c r="T25">
        <v>1616</v>
      </c>
      <c r="U25">
        <v>1043</v>
      </c>
      <c r="V25">
        <v>1747</v>
      </c>
      <c r="W25">
        <v>6749</v>
      </c>
      <c r="X25" s="6"/>
      <c r="Y25" s="6"/>
      <c r="Z25" s="6"/>
      <c r="AA25" s="6"/>
      <c r="AB25" s="6"/>
      <c r="AC25" s="6"/>
    </row>
    <row r="26" spans="3:29" x14ac:dyDescent="0.3">
      <c r="C26" s="6"/>
      <c r="D26" s="6"/>
      <c r="E26" s="6"/>
      <c r="F26" s="6"/>
      <c r="G26" s="6"/>
      <c r="H26" s="6"/>
      <c r="I26" s="6"/>
      <c r="J26" s="6"/>
      <c r="K26" s="6"/>
      <c r="L26" s="6"/>
      <c r="M26" s="6"/>
      <c r="N26" s="6"/>
      <c r="O26" s="6"/>
      <c r="P26" s="6"/>
      <c r="Q26" s="12" t="s">
        <v>46</v>
      </c>
      <c r="R26">
        <v>1438</v>
      </c>
      <c r="S26">
        <v>1616</v>
      </c>
      <c r="T26">
        <v>866</v>
      </c>
      <c r="U26">
        <v>829</v>
      </c>
      <c r="V26">
        <v>2070</v>
      </c>
      <c r="W26">
        <v>6819</v>
      </c>
      <c r="X26" s="6"/>
      <c r="Y26" s="6"/>
      <c r="Z26" s="6"/>
      <c r="AA26" s="6"/>
      <c r="AB26" s="6"/>
      <c r="AC26" s="6"/>
    </row>
    <row r="27" spans="3:29" x14ac:dyDescent="0.3">
      <c r="C27" s="6"/>
      <c r="D27" s="6"/>
      <c r="E27" s="6"/>
      <c r="F27" s="6"/>
      <c r="G27" s="6"/>
      <c r="H27" s="6"/>
      <c r="I27" s="6"/>
      <c r="J27" s="6"/>
      <c r="K27" s="6"/>
      <c r="L27" s="6"/>
      <c r="M27" s="6"/>
      <c r="N27" s="6"/>
      <c r="O27" s="6"/>
      <c r="P27" s="6"/>
      <c r="Q27" s="13" t="s">
        <v>20</v>
      </c>
      <c r="R27" s="14"/>
      <c r="S27" s="14"/>
      <c r="T27" s="14"/>
      <c r="U27" s="14"/>
      <c r="V27" s="14"/>
      <c r="W27" s="14"/>
      <c r="X27" s="6"/>
      <c r="Y27" s="6"/>
      <c r="Z27" s="6"/>
      <c r="AA27" s="6"/>
      <c r="AB27" s="6"/>
      <c r="AC27" s="6"/>
    </row>
    <row r="28" spans="3:29" x14ac:dyDescent="0.3">
      <c r="C28" s="6"/>
      <c r="D28" s="6"/>
      <c r="E28" s="6"/>
      <c r="F28" s="6"/>
      <c r="G28" s="6"/>
      <c r="H28" s="6"/>
      <c r="I28" s="6"/>
      <c r="J28" s="6"/>
      <c r="K28" s="6"/>
      <c r="L28" s="6"/>
      <c r="M28" s="6"/>
      <c r="N28" s="6"/>
      <c r="O28" s="6"/>
      <c r="P28" s="6"/>
      <c r="Q28" s="12" t="s">
        <v>19</v>
      </c>
      <c r="R28">
        <v>1233</v>
      </c>
      <c r="S28">
        <v>223</v>
      </c>
      <c r="T28">
        <v>1680</v>
      </c>
      <c r="U28">
        <v>990</v>
      </c>
      <c r="V28">
        <v>1508</v>
      </c>
      <c r="W28">
        <v>5634</v>
      </c>
      <c r="X28" s="6"/>
      <c r="Y28" s="6"/>
      <c r="Z28" s="6"/>
      <c r="AA28" s="6"/>
      <c r="AB28" s="6"/>
      <c r="AC28" s="6"/>
    </row>
    <row r="29" spans="3:29" x14ac:dyDescent="0.3">
      <c r="C29" s="6"/>
      <c r="D29" s="6"/>
      <c r="E29" s="6"/>
      <c r="F29" s="6"/>
      <c r="G29" s="6"/>
      <c r="H29" s="6"/>
      <c r="I29" s="6"/>
      <c r="J29" s="6"/>
      <c r="K29" s="6"/>
      <c r="L29" s="6"/>
      <c r="M29" s="6"/>
      <c r="N29" s="6"/>
      <c r="O29" s="6"/>
      <c r="P29" s="6"/>
      <c r="Q29" s="12" t="s">
        <v>33</v>
      </c>
      <c r="R29">
        <v>1598</v>
      </c>
      <c r="S29">
        <v>1907</v>
      </c>
      <c r="T29">
        <v>869</v>
      </c>
      <c r="U29">
        <v>1426</v>
      </c>
      <c r="V29">
        <v>1416</v>
      </c>
      <c r="W29">
        <v>7216</v>
      </c>
      <c r="X29" s="6"/>
      <c r="Y29" s="6"/>
      <c r="Z29" s="6"/>
      <c r="AA29" s="6"/>
      <c r="AB29" s="6"/>
      <c r="AC29" s="6"/>
    </row>
    <row r="30" spans="3:29" x14ac:dyDescent="0.3">
      <c r="C30" s="6"/>
      <c r="D30" s="6"/>
      <c r="E30" s="6"/>
      <c r="F30" s="6"/>
      <c r="G30" s="6"/>
      <c r="H30" s="6"/>
      <c r="I30" s="6"/>
      <c r="J30" s="6"/>
      <c r="K30" s="6"/>
      <c r="L30" s="6"/>
      <c r="M30" s="6"/>
      <c r="N30" s="6"/>
      <c r="O30" s="6"/>
      <c r="P30" s="6"/>
      <c r="Q30" s="12" t="s">
        <v>37</v>
      </c>
      <c r="R30">
        <v>900</v>
      </c>
      <c r="S30">
        <v>1016</v>
      </c>
      <c r="T30">
        <v>960</v>
      </c>
      <c r="U30">
        <v>940</v>
      </c>
      <c r="V30">
        <v>1193</v>
      </c>
      <c r="W30">
        <v>5009</v>
      </c>
      <c r="X30" s="6"/>
      <c r="Y30" s="6"/>
      <c r="Z30" s="6"/>
      <c r="AA30" s="6"/>
      <c r="AB30" s="6"/>
      <c r="AC30" s="6"/>
    </row>
    <row r="31" spans="3:29" x14ac:dyDescent="0.3">
      <c r="C31" s="6"/>
      <c r="D31" s="6"/>
      <c r="E31" s="6"/>
      <c r="F31" s="6"/>
      <c r="G31" s="6"/>
      <c r="H31" s="6"/>
      <c r="I31" s="6"/>
      <c r="J31" s="6"/>
      <c r="K31" s="6"/>
      <c r="L31" s="6"/>
      <c r="M31" s="6"/>
      <c r="N31" s="6"/>
      <c r="O31" s="6"/>
      <c r="P31" s="6"/>
      <c r="Q31" s="12" t="s">
        <v>41</v>
      </c>
      <c r="R31">
        <v>900</v>
      </c>
      <c r="S31">
        <v>1470</v>
      </c>
      <c r="T31">
        <v>1617</v>
      </c>
      <c r="U31">
        <v>1314</v>
      </c>
      <c r="V31">
        <v>941</v>
      </c>
      <c r="W31">
        <v>6242</v>
      </c>
      <c r="X31" s="6"/>
      <c r="Y31" s="6"/>
      <c r="Z31" s="6"/>
      <c r="AA31" s="6"/>
      <c r="AB31" s="6"/>
      <c r="AC31" s="6"/>
    </row>
    <row r="32" spans="3:29" x14ac:dyDescent="0.3">
      <c r="C32" s="6"/>
      <c r="D32" s="6"/>
      <c r="E32" s="6"/>
      <c r="F32" s="6"/>
      <c r="G32" s="6"/>
      <c r="H32" s="6"/>
      <c r="I32" s="6"/>
      <c r="J32" s="6"/>
      <c r="K32" s="6"/>
      <c r="L32" s="6"/>
      <c r="M32" s="6"/>
      <c r="N32" s="6"/>
      <c r="O32" s="6"/>
      <c r="P32" s="6"/>
      <c r="Q32" s="12" t="s">
        <v>45</v>
      </c>
      <c r="R32">
        <v>1255</v>
      </c>
      <c r="S32">
        <v>516</v>
      </c>
      <c r="T32">
        <v>1874</v>
      </c>
      <c r="U32">
        <v>1863</v>
      </c>
      <c r="V32">
        <v>1722</v>
      </c>
      <c r="W32">
        <v>7230</v>
      </c>
      <c r="X32" s="6"/>
      <c r="Y32" s="6"/>
      <c r="Z32" s="6"/>
      <c r="AA32" s="6"/>
      <c r="AB32" s="6"/>
      <c r="AC32" s="6"/>
    </row>
    <row r="33" spans="3:29" x14ac:dyDescent="0.3">
      <c r="C33" s="6"/>
      <c r="D33" s="6"/>
      <c r="E33" s="6"/>
      <c r="F33" s="6"/>
      <c r="G33" s="6"/>
      <c r="H33" s="6"/>
      <c r="I33" s="6"/>
      <c r="J33" s="6"/>
      <c r="K33" s="6"/>
      <c r="L33" s="6"/>
      <c r="M33" s="6"/>
      <c r="N33" s="6"/>
      <c r="O33" s="6"/>
      <c r="P33" s="6"/>
      <c r="Q33" s="12" t="s">
        <v>50</v>
      </c>
      <c r="R33">
        <v>1138</v>
      </c>
      <c r="S33">
        <v>1898</v>
      </c>
      <c r="T33">
        <v>1482</v>
      </c>
      <c r="U33">
        <v>846</v>
      </c>
      <c r="V33">
        <v>1154</v>
      </c>
      <c r="W33">
        <v>6518</v>
      </c>
      <c r="X33" s="6"/>
      <c r="Y33" s="6"/>
      <c r="Z33" s="6"/>
      <c r="AA33" s="6"/>
      <c r="AB33" s="6"/>
      <c r="AC33" s="6"/>
    </row>
    <row r="34" spans="3:29" x14ac:dyDescent="0.3">
      <c r="C34" s="6"/>
      <c r="D34" s="6"/>
      <c r="E34" s="6"/>
      <c r="F34" s="6"/>
      <c r="G34" s="6"/>
      <c r="H34" s="6"/>
      <c r="I34" s="6"/>
      <c r="J34" s="6"/>
      <c r="K34" s="6"/>
      <c r="L34" s="6"/>
      <c r="M34" s="6"/>
      <c r="N34" s="6"/>
      <c r="O34" s="6"/>
      <c r="P34" s="6"/>
      <c r="Q34" s="13" t="s">
        <v>16</v>
      </c>
      <c r="R34" s="14"/>
      <c r="S34" s="14"/>
      <c r="T34" s="14"/>
      <c r="U34" s="14"/>
      <c r="V34" s="14"/>
      <c r="W34" s="14"/>
      <c r="X34" s="6"/>
      <c r="Y34" s="6"/>
      <c r="Z34" s="6"/>
      <c r="AA34" s="6"/>
      <c r="AB34" s="6"/>
      <c r="AC34" s="6"/>
    </row>
    <row r="35" spans="3:29" x14ac:dyDescent="0.3">
      <c r="C35" s="6"/>
      <c r="D35" s="6"/>
      <c r="E35" s="6"/>
      <c r="F35" s="6"/>
      <c r="G35" s="6"/>
      <c r="H35" s="6"/>
      <c r="I35" s="6"/>
      <c r="J35" s="6"/>
      <c r="K35" s="6"/>
      <c r="L35" s="6"/>
      <c r="M35" s="6"/>
      <c r="N35" s="6"/>
      <c r="O35" s="6"/>
      <c r="P35" s="6"/>
      <c r="Q35" s="12" t="s">
        <v>14</v>
      </c>
      <c r="R35">
        <v>1655</v>
      </c>
      <c r="S35">
        <v>805</v>
      </c>
      <c r="T35">
        <v>2263</v>
      </c>
      <c r="U35">
        <v>987</v>
      </c>
      <c r="V35">
        <v>1075</v>
      </c>
      <c r="W35">
        <v>6785</v>
      </c>
      <c r="X35" s="6"/>
      <c r="Y35" s="6"/>
      <c r="Z35" s="6"/>
      <c r="AA35" s="6"/>
      <c r="AB35" s="6"/>
      <c r="AC35" s="6"/>
    </row>
    <row r="36" spans="3:29" x14ac:dyDescent="0.3">
      <c r="C36" s="6"/>
      <c r="D36" s="6"/>
      <c r="E36" s="6"/>
      <c r="F36" s="6"/>
      <c r="G36" s="6"/>
      <c r="H36" s="6"/>
      <c r="I36" s="6"/>
      <c r="J36" s="6"/>
      <c r="K36" s="6"/>
      <c r="L36" s="6"/>
      <c r="M36" s="6"/>
      <c r="N36" s="6"/>
      <c r="O36" s="6"/>
      <c r="P36" s="6"/>
      <c r="Q36" s="12" t="s">
        <v>22</v>
      </c>
      <c r="R36">
        <v>1104</v>
      </c>
      <c r="S36">
        <v>2280</v>
      </c>
      <c r="T36">
        <v>1445</v>
      </c>
      <c r="U36">
        <v>1722</v>
      </c>
      <c r="V36">
        <v>1196</v>
      </c>
      <c r="W36">
        <v>7747</v>
      </c>
      <c r="X36" s="6"/>
      <c r="Y36" s="6"/>
      <c r="Z36" s="6"/>
      <c r="AA36" s="6"/>
      <c r="AB36" s="6"/>
      <c r="AC36" s="6"/>
    </row>
    <row r="37" spans="3:29" x14ac:dyDescent="0.3">
      <c r="C37" s="6"/>
      <c r="D37" s="6"/>
      <c r="E37" s="6"/>
      <c r="F37" s="6"/>
      <c r="G37" s="6"/>
      <c r="H37" s="6"/>
      <c r="I37" s="6"/>
      <c r="J37" s="6"/>
      <c r="K37" s="6"/>
      <c r="L37" s="6"/>
      <c r="M37" s="6"/>
      <c r="N37" s="6"/>
      <c r="O37" s="6"/>
      <c r="P37" s="6"/>
      <c r="Q37" s="12" t="s">
        <v>31</v>
      </c>
      <c r="R37">
        <v>372</v>
      </c>
      <c r="S37">
        <v>1818</v>
      </c>
      <c r="T37">
        <v>1346</v>
      </c>
      <c r="U37">
        <v>1156</v>
      </c>
      <c r="V37">
        <v>1484</v>
      </c>
      <c r="W37">
        <v>6176</v>
      </c>
      <c r="X37" s="6"/>
      <c r="Y37" s="6"/>
      <c r="Z37" s="6"/>
      <c r="AA37" s="6"/>
      <c r="AB37" s="6"/>
      <c r="AC37" s="6"/>
    </row>
    <row r="38" spans="3:29" x14ac:dyDescent="0.3">
      <c r="C38" s="6"/>
      <c r="D38" s="6"/>
      <c r="E38" s="6"/>
      <c r="F38" s="6"/>
      <c r="G38" s="6"/>
      <c r="H38" s="6"/>
      <c r="I38" s="6"/>
      <c r="J38" s="6"/>
      <c r="K38" s="6"/>
      <c r="L38" s="6"/>
      <c r="M38" s="6"/>
      <c r="N38" s="6"/>
      <c r="O38" s="6"/>
      <c r="P38" s="6"/>
      <c r="Q38" s="12" t="s">
        <v>39</v>
      </c>
      <c r="R38">
        <v>1415</v>
      </c>
      <c r="S38">
        <v>1271</v>
      </c>
      <c r="T38">
        <v>1214</v>
      </c>
      <c r="U38">
        <v>1135</v>
      </c>
      <c r="V38">
        <v>1566</v>
      </c>
      <c r="W38">
        <v>6601</v>
      </c>
      <c r="X38" s="6"/>
      <c r="Y38" s="6"/>
      <c r="Z38" s="6"/>
      <c r="AA38" s="6"/>
      <c r="AB38" s="6"/>
      <c r="AC38" s="6"/>
    </row>
    <row r="39" spans="3:29" x14ac:dyDescent="0.3">
      <c r="C39" s="6"/>
      <c r="D39" s="6"/>
      <c r="E39" s="6"/>
      <c r="F39" s="6"/>
      <c r="G39" s="6"/>
      <c r="H39" s="6"/>
      <c r="I39" s="6"/>
      <c r="J39" s="6"/>
      <c r="K39" s="6"/>
      <c r="L39" s="6"/>
      <c r="M39" s="6"/>
      <c r="N39" s="6"/>
      <c r="O39" s="6"/>
      <c r="P39" s="6"/>
      <c r="Q39" s="12" t="s">
        <v>26</v>
      </c>
      <c r="R39">
        <v>1362</v>
      </c>
      <c r="S39">
        <v>1363</v>
      </c>
      <c r="T39">
        <v>1152</v>
      </c>
      <c r="U39">
        <v>777</v>
      </c>
      <c r="V39">
        <v>750</v>
      </c>
      <c r="W39">
        <v>5404</v>
      </c>
      <c r="X39" s="6"/>
      <c r="Y39" s="6"/>
      <c r="Z39" s="6"/>
      <c r="AA39" s="6"/>
      <c r="AB39" s="6"/>
      <c r="AC39" s="6"/>
    </row>
    <row r="40" spans="3:29" x14ac:dyDescent="0.3">
      <c r="C40" s="6"/>
      <c r="D40" s="6"/>
      <c r="E40" s="6"/>
      <c r="F40" s="6"/>
      <c r="G40" s="6"/>
      <c r="H40" s="6"/>
      <c r="I40" s="6"/>
      <c r="J40" s="6"/>
      <c r="K40" s="6"/>
      <c r="L40" s="6"/>
      <c r="M40" s="6"/>
      <c r="N40" s="6"/>
      <c r="O40" s="6"/>
      <c r="P40" s="6"/>
      <c r="X40" s="6"/>
      <c r="Y40" s="6"/>
      <c r="Z40" s="6"/>
      <c r="AA40" s="6"/>
      <c r="AB40" s="6"/>
      <c r="AC40" s="6"/>
    </row>
    <row r="41" spans="3:29" x14ac:dyDescent="0.3">
      <c r="C41" s="6"/>
      <c r="D41" s="6"/>
      <c r="E41" s="6"/>
      <c r="F41" s="6"/>
      <c r="G41" s="6"/>
      <c r="H41" s="6"/>
      <c r="I41" s="6"/>
      <c r="J41" s="6"/>
      <c r="K41" s="6"/>
      <c r="L41" s="6"/>
      <c r="M41" s="6"/>
      <c r="N41" s="6"/>
      <c r="O41" s="6"/>
      <c r="P41" s="6"/>
      <c r="Q41" s="6"/>
      <c r="R41" s="6"/>
      <c r="S41" s="6"/>
      <c r="T41" s="6"/>
      <c r="U41" s="6"/>
      <c r="V41" s="6"/>
      <c r="W41" s="6"/>
      <c r="X41" s="6"/>
      <c r="Y41" s="6"/>
      <c r="Z41" s="6"/>
      <c r="AA41" s="6"/>
      <c r="AB41" s="6"/>
      <c r="AC41" s="6"/>
    </row>
    <row r="42" spans="3:29" x14ac:dyDescent="0.3">
      <c r="C42" s="6"/>
      <c r="D42" s="6"/>
      <c r="E42" s="6"/>
      <c r="F42" s="6"/>
      <c r="G42" s="6"/>
      <c r="H42" s="6"/>
      <c r="I42" s="6"/>
      <c r="J42" s="6"/>
      <c r="K42" s="6"/>
      <c r="L42" s="6"/>
      <c r="M42" s="6"/>
      <c r="N42" s="6"/>
      <c r="O42" s="6"/>
      <c r="P42" s="6"/>
      <c r="Q42" s="6"/>
      <c r="R42" s="6"/>
      <c r="S42" s="6"/>
      <c r="T42" s="6"/>
      <c r="U42" s="6"/>
      <c r="V42" s="6"/>
      <c r="W42" s="6"/>
      <c r="X42" s="6"/>
      <c r="Y42" s="6"/>
      <c r="Z42" s="6"/>
      <c r="AA42" s="6"/>
      <c r="AB42" s="6"/>
      <c r="AC42" s="6"/>
    </row>
    <row r="43" spans="3:29" x14ac:dyDescent="0.3">
      <c r="C43" s="6"/>
      <c r="D43" s="6"/>
      <c r="E43" s="6"/>
      <c r="F43" s="6"/>
      <c r="G43" s="6"/>
      <c r="H43" s="6"/>
      <c r="I43" s="6"/>
      <c r="J43" s="6"/>
      <c r="K43" s="6"/>
      <c r="L43" s="6"/>
      <c r="M43" s="6"/>
      <c r="N43" s="6"/>
      <c r="O43" s="6"/>
      <c r="P43" s="6"/>
      <c r="Q43" s="6"/>
      <c r="R43" s="6"/>
      <c r="S43" s="6"/>
      <c r="T43" s="6"/>
      <c r="U43" s="6"/>
      <c r="V43" s="6"/>
      <c r="W43" s="6"/>
      <c r="X43" s="6"/>
      <c r="Y43" s="6"/>
      <c r="Z43" s="6"/>
      <c r="AA43" s="6"/>
      <c r="AB43" s="6"/>
      <c r="AC43" s="6"/>
    </row>
    <row r="44" spans="3:29" x14ac:dyDescent="0.3">
      <c r="C44" s="6"/>
      <c r="D44" s="6"/>
      <c r="E44" s="6"/>
      <c r="F44" s="6"/>
      <c r="G44" s="6"/>
      <c r="H44" s="6"/>
      <c r="I44" s="6"/>
      <c r="J44" s="6"/>
      <c r="K44" s="6"/>
      <c r="L44" s="6"/>
      <c r="M44" s="6"/>
      <c r="N44" s="6"/>
      <c r="O44" s="6"/>
      <c r="P44" s="6"/>
      <c r="Q44" s="6"/>
      <c r="R44" s="6"/>
      <c r="S44" s="6"/>
      <c r="T44" s="6"/>
      <c r="U44" s="6"/>
      <c r="V44" s="6"/>
      <c r="W44" s="6"/>
      <c r="X44" s="6"/>
      <c r="Y44" s="6"/>
      <c r="Z44" s="6"/>
      <c r="AA44" s="6"/>
      <c r="AB44" s="6"/>
      <c r="AC44" s="6"/>
    </row>
    <row r="45" spans="3:29" x14ac:dyDescent="0.3">
      <c r="C45" s="6"/>
      <c r="D45" s="6"/>
      <c r="E45" s="6"/>
      <c r="F45" s="6"/>
      <c r="G45" s="6"/>
      <c r="H45" s="6"/>
      <c r="I45" s="6"/>
      <c r="J45" s="6"/>
      <c r="K45" s="6"/>
      <c r="L45" s="6"/>
      <c r="M45" s="6"/>
      <c r="N45" s="6"/>
      <c r="O45" s="6"/>
      <c r="P45" s="6"/>
      <c r="Q45" s="6"/>
      <c r="R45" s="6"/>
      <c r="S45" s="6"/>
      <c r="T45" s="6"/>
      <c r="U45" s="6"/>
      <c r="V45" s="6"/>
      <c r="W45" s="6"/>
      <c r="X45" s="6"/>
      <c r="Y45" s="6"/>
      <c r="Z45" s="6"/>
      <c r="AA45" s="6"/>
      <c r="AB45" s="6"/>
      <c r="AC45" s="6"/>
    </row>
    <row r="46" spans="3:29" x14ac:dyDescent="0.3">
      <c r="C46" s="6"/>
      <c r="D46" s="6"/>
      <c r="E46" s="6"/>
      <c r="F46" s="6"/>
      <c r="G46" s="6"/>
      <c r="H46" s="6"/>
      <c r="I46" s="6"/>
      <c r="J46" s="6"/>
      <c r="K46" s="6"/>
      <c r="L46" s="6"/>
      <c r="M46" s="6"/>
      <c r="N46" s="6"/>
      <c r="O46" s="6"/>
      <c r="P46" s="6"/>
      <c r="Q46" s="6"/>
      <c r="R46" s="6"/>
      <c r="S46" s="6"/>
      <c r="T46" s="6"/>
      <c r="U46" s="6"/>
      <c r="V46" s="6"/>
      <c r="W46" s="6"/>
      <c r="X46" s="6"/>
      <c r="Y46" s="6"/>
      <c r="Z46" s="6"/>
      <c r="AA46" s="6"/>
      <c r="AB46" s="6"/>
      <c r="AC46" s="6"/>
    </row>
    <row r="47" spans="3:29" x14ac:dyDescent="0.3">
      <c r="C47" s="6"/>
      <c r="D47" s="6"/>
      <c r="E47" s="6"/>
      <c r="F47" s="6"/>
      <c r="G47" s="6"/>
      <c r="H47" s="6"/>
      <c r="I47" s="6"/>
      <c r="J47" s="6"/>
      <c r="K47" s="6"/>
      <c r="L47" s="6"/>
      <c r="M47" s="6"/>
      <c r="N47" s="6"/>
      <c r="O47" s="6"/>
      <c r="P47" s="6"/>
      <c r="Q47" s="6"/>
      <c r="R47" s="6"/>
      <c r="S47" s="6"/>
      <c r="T47" s="6"/>
      <c r="U47" s="6"/>
      <c r="V47" s="6"/>
      <c r="W47" s="6"/>
      <c r="X47" s="6"/>
      <c r="Y47" s="6"/>
      <c r="Z47" s="6"/>
      <c r="AA47" s="6"/>
      <c r="AB47" s="6"/>
      <c r="AC47" s="6"/>
    </row>
    <row r="48" spans="3:29" x14ac:dyDescent="0.3">
      <c r="C48" s="6"/>
      <c r="D48" s="6"/>
      <c r="E48" s="6"/>
      <c r="F48" s="6"/>
      <c r="G48" s="6"/>
      <c r="H48" s="6"/>
      <c r="I48" s="6"/>
      <c r="J48" s="6"/>
      <c r="K48" s="6"/>
      <c r="L48" s="6"/>
      <c r="M48" s="6"/>
      <c r="N48" s="6"/>
      <c r="O48" s="6"/>
      <c r="P48" s="6"/>
      <c r="Q48" s="6"/>
      <c r="R48" s="6"/>
      <c r="S48" s="6"/>
      <c r="T48" s="6"/>
      <c r="U48" s="6"/>
      <c r="V48" s="6"/>
      <c r="W48" s="6"/>
      <c r="X48" s="6"/>
      <c r="Y48" s="6"/>
      <c r="Z48" s="6"/>
      <c r="AA48" s="6"/>
      <c r="AB48" s="6"/>
      <c r="AC48" s="6"/>
    </row>
    <row r="49" spans="3:29" x14ac:dyDescent="0.3">
      <c r="C49" s="6"/>
      <c r="D49" s="6"/>
      <c r="E49" s="6"/>
      <c r="F49" s="6"/>
      <c r="G49" s="6"/>
      <c r="H49" s="6"/>
      <c r="I49" s="6"/>
      <c r="J49" s="6"/>
      <c r="K49" s="6"/>
      <c r="L49" s="6"/>
      <c r="M49" s="6"/>
      <c r="N49" s="6"/>
      <c r="O49" s="6"/>
      <c r="P49" s="6"/>
      <c r="Q49" s="6"/>
      <c r="R49" s="6"/>
      <c r="S49" s="6"/>
      <c r="T49" s="6"/>
      <c r="U49" s="6"/>
      <c r="V49" s="6"/>
      <c r="W49" s="6"/>
      <c r="X49" s="6"/>
      <c r="Y49" s="6"/>
      <c r="Z49" s="6"/>
      <c r="AA49" s="6"/>
      <c r="AB49" s="6"/>
      <c r="AC49" s="6"/>
    </row>
    <row r="50" spans="3:29" x14ac:dyDescent="0.3">
      <c r="C50" s="6"/>
      <c r="D50" s="6"/>
      <c r="E50" s="6"/>
      <c r="F50" s="6"/>
      <c r="G50" s="6"/>
      <c r="H50" s="6"/>
      <c r="I50" s="6"/>
      <c r="J50" s="6"/>
      <c r="K50" s="6"/>
      <c r="L50" s="6"/>
      <c r="M50" s="6"/>
      <c r="N50" s="6"/>
      <c r="O50" s="6"/>
      <c r="P50" s="6"/>
      <c r="Q50" s="6"/>
      <c r="R50" s="6"/>
      <c r="S50" s="6"/>
      <c r="T50" s="6"/>
      <c r="U50" s="6"/>
      <c r="V50" s="6"/>
      <c r="W50" s="6"/>
      <c r="X50" s="6"/>
      <c r="Y50" s="6"/>
      <c r="Z50" s="6"/>
      <c r="AA50" s="6"/>
      <c r="AB50" s="6"/>
      <c r="AC50" s="6"/>
    </row>
    <row r="51" spans="3:29" x14ac:dyDescent="0.3">
      <c r="C51" s="6"/>
      <c r="D51" s="6"/>
      <c r="E51" s="6"/>
      <c r="F51" s="6"/>
      <c r="G51" s="6"/>
      <c r="H51" s="6"/>
      <c r="I51" s="6"/>
      <c r="J51" s="6"/>
      <c r="K51" s="6"/>
      <c r="L51" s="6"/>
      <c r="M51" s="6"/>
      <c r="N51" s="6"/>
      <c r="O51" s="6"/>
      <c r="P51" s="6"/>
      <c r="Q51" s="6"/>
      <c r="R51" s="6"/>
      <c r="S51" s="6"/>
      <c r="T51" s="6"/>
      <c r="U51" s="6"/>
      <c r="V51" s="6"/>
      <c r="W51" s="6"/>
      <c r="X51" s="6"/>
      <c r="Y51" s="6"/>
      <c r="Z51" s="6"/>
      <c r="AA51" s="6"/>
      <c r="AB51" s="6"/>
      <c r="AC51" s="6"/>
    </row>
    <row r="52" spans="3:29" x14ac:dyDescent="0.3">
      <c r="C52" s="6"/>
      <c r="D52" s="6"/>
      <c r="E52" s="6"/>
      <c r="F52" s="6"/>
      <c r="G52" s="6"/>
      <c r="H52" s="6"/>
      <c r="I52" s="6"/>
      <c r="J52" s="6"/>
      <c r="K52" s="6"/>
      <c r="L52" s="6"/>
      <c r="M52" s="6"/>
      <c r="N52" s="6"/>
      <c r="O52" s="6"/>
      <c r="P52" s="6"/>
      <c r="Q52" s="6"/>
      <c r="R52" s="6"/>
      <c r="S52" s="6"/>
      <c r="T52" s="6"/>
      <c r="U52" s="6"/>
      <c r="V52" s="6"/>
      <c r="W52" s="6"/>
      <c r="X52" s="6"/>
      <c r="Y52" s="6"/>
      <c r="Z52" s="6"/>
      <c r="AA52" s="6"/>
      <c r="AB52" s="6"/>
      <c r="AC52" s="6"/>
    </row>
    <row r="53" spans="3:29" x14ac:dyDescent="0.3">
      <c r="C53" s="6"/>
      <c r="D53" s="6"/>
      <c r="E53" s="6"/>
      <c r="F53" s="6"/>
      <c r="G53" s="6"/>
      <c r="H53" s="6"/>
      <c r="I53" s="6"/>
      <c r="J53" s="6"/>
      <c r="K53" s="6"/>
      <c r="L53" s="6"/>
      <c r="M53" s="6"/>
      <c r="N53" s="6"/>
      <c r="O53" s="6"/>
      <c r="P53" s="6"/>
      <c r="Q53" s="6"/>
      <c r="R53" s="6"/>
      <c r="S53" s="6"/>
      <c r="T53" s="6"/>
      <c r="U53" s="6"/>
      <c r="V53" s="6"/>
      <c r="W53" s="6"/>
      <c r="X53" s="6"/>
      <c r="Y53" s="6"/>
      <c r="Z53" s="6"/>
      <c r="AA53" s="6"/>
      <c r="AB53" s="6"/>
      <c r="AC53" s="6"/>
    </row>
    <row r="54" spans="3:29" x14ac:dyDescent="0.3">
      <c r="C54" s="6"/>
      <c r="D54" s="6"/>
      <c r="E54" s="6"/>
      <c r="F54" s="6"/>
      <c r="G54" s="6"/>
      <c r="H54" s="6"/>
      <c r="I54" s="6"/>
      <c r="J54" s="6"/>
      <c r="K54" s="6"/>
      <c r="L54" s="6"/>
      <c r="M54" s="6"/>
      <c r="N54" s="6"/>
      <c r="O54" s="6"/>
      <c r="P54" s="6"/>
      <c r="Q54" s="6"/>
      <c r="R54" s="6"/>
      <c r="S54" s="6"/>
      <c r="T54" s="6"/>
      <c r="U54" s="6"/>
      <c r="V54" s="6"/>
      <c r="W54" s="6"/>
      <c r="X54" s="6"/>
      <c r="Y54" s="6"/>
      <c r="Z54" s="6"/>
      <c r="AA54" s="6"/>
      <c r="AB54" s="6"/>
      <c r="AC54" s="6"/>
    </row>
    <row r="55" spans="3:29" x14ac:dyDescent="0.3">
      <c r="C55" s="6"/>
      <c r="D55" s="6"/>
      <c r="E55" s="6"/>
      <c r="F55" s="6"/>
      <c r="G55" s="6"/>
      <c r="H55" s="6"/>
      <c r="I55" s="6"/>
      <c r="J55" s="6"/>
      <c r="K55" s="6"/>
      <c r="L55" s="6"/>
      <c r="M55" s="6"/>
      <c r="N55" s="6"/>
      <c r="O55" s="6"/>
      <c r="P55" s="6"/>
      <c r="Q55" s="6"/>
      <c r="R55" s="6"/>
      <c r="S55" s="6"/>
      <c r="T55" s="6"/>
      <c r="U55" s="6"/>
      <c r="V55" s="6"/>
      <c r="W55" s="6"/>
      <c r="X55" s="6"/>
      <c r="Y55" s="6"/>
      <c r="Z55" s="6"/>
      <c r="AA55" s="6"/>
      <c r="AB55" s="6"/>
      <c r="AC55" s="6"/>
    </row>
    <row r="56" spans="3:29" x14ac:dyDescent="0.3">
      <c r="C56" s="6"/>
      <c r="D56" s="6"/>
      <c r="E56" s="6"/>
      <c r="F56" s="6"/>
      <c r="G56" s="6"/>
      <c r="H56" s="6"/>
      <c r="I56" s="6"/>
      <c r="J56" s="6"/>
      <c r="K56" s="6"/>
      <c r="L56" s="6"/>
      <c r="M56" s="6"/>
      <c r="N56" s="6"/>
      <c r="O56" s="6"/>
      <c r="P56" s="6"/>
      <c r="Q56" s="6"/>
      <c r="R56" s="6"/>
      <c r="S56" s="6"/>
      <c r="T56" s="6"/>
      <c r="U56" s="6"/>
      <c r="V56" s="6"/>
      <c r="W56" s="6"/>
      <c r="X56" s="6"/>
      <c r="Y56" s="6"/>
      <c r="Z56" s="6"/>
      <c r="AA56" s="6"/>
      <c r="AB56" s="6"/>
      <c r="AC56" s="6"/>
    </row>
    <row r="57" spans="3:29" x14ac:dyDescent="0.3">
      <c r="C57" s="6"/>
      <c r="D57" s="6"/>
      <c r="E57" s="6"/>
      <c r="F57" s="6"/>
      <c r="G57" s="6"/>
      <c r="H57" s="6"/>
      <c r="I57" s="6"/>
      <c r="J57" s="6"/>
      <c r="K57" s="6"/>
      <c r="L57" s="6"/>
      <c r="M57" s="6"/>
      <c r="N57" s="6"/>
      <c r="O57" s="6"/>
      <c r="P57" s="6"/>
      <c r="Q57" s="6"/>
      <c r="R57" s="6"/>
      <c r="S57" s="6"/>
      <c r="T57" s="6"/>
      <c r="U57" s="6"/>
      <c r="V57" s="6"/>
      <c r="W57" s="6"/>
      <c r="X57" s="6"/>
      <c r="Y57" s="6"/>
      <c r="Z57" s="6"/>
      <c r="AA57" s="6"/>
      <c r="AB57" s="6"/>
      <c r="AC57" s="6"/>
    </row>
    <row r="58" spans="3:29" x14ac:dyDescent="0.3">
      <c r="C58" s="6"/>
      <c r="D58" s="6"/>
      <c r="E58" s="6"/>
      <c r="F58" s="6"/>
      <c r="G58" s="6"/>
      <c r="H58" s="6"/>
      <c r="I58" s="6"/>
      <c r="J58" s="6"/>
      <c r="K58" s="6"/>
      <c r="L58" s="6"/>
      <c r="M58" s="6"/>
      <c r="N58" s="6"/>
      <c r="O58" s="6"/>
      <c r="P58" s="6"/>
      <c r="Q58" s="6"/>
      <c r="R58" s="6"/>
      <c r="S58" s="6"/>
      <c r="T58" s="6"/>
      <c r="U58" s="6"/>
      <c r="V58" s="6"/>
      <c r="W58" s="6"/>
      <c r="X58" s="6"/>
      <c r="Y58" s="6"/>
      <c r="Z58" s="6"/>
      <c r="AA58" s="6"/>
      <c r="AB58" s="6"/>
      <c r="AC58" s="6"/>
    </row>
    <row r="59" spans="3:29" x14ac:dyDescent="0.3">
      <c r="C59" s="6"/>
      <c r="D59" s="6"/>
      <c r="E59" s="6"/>
      <c r="F59" s="6"/>
      <c r="G59" s="6"/>
      <c r="H59" s="6"/>
      <c r="I59" s="6"/>
      <c r="J59" s="6"/>
      <c r="K59" s="6"/>
      <c r="L59" s="6"/>
      <c r="M59" s="6"/>
      <c r="N59" s="6"/>
      <c r="O59" s="6"/>
      <c r="P59" s="6"/>
      <c r="Q59" s="6"/>
      <c r="R59" s="6"/>
      <c r="S59" s="6"/>
      <c r="T59" s="6"/>
      <c r="U59" s="6"/>
      <c r="V59" s="6"/>
      <c r="W59" s="6"/>
      <c r="X59" s="6"/>
      <c r="Y59" s="6"/>
      <c r="Z59" s="6"/>
      <c r="AA59" s="6"/>
      <c r="AB59" s="6"/>
      <c r="AC59" s="6"/>
    </row>
    <row r="60" spans="3:29" x14ac:dyDescent="0.3">
      <c r="C60" s="6"/>
      <c r="D60" s="6"/>
      <c r="E60" s="6"/>
      <c r="F60" s="6"/>
      <c r="G60" s="6"/>
      <c r="H60" s="6"/>
      <c r="I60" s="6"/>
      <c r="J60" s="6"/>
      <c r="K60" s="6"/>
      <c r="L60" s="6"/>
      <c r="M60" s="6"/>
      <c r="N60" s="6"/>
      <c r="O60" s="6"/>
      <c r="P60" s="6"/>
      <c r="Q60" s="6"/>
      <c r="R60" s="6"/>
      <c r="S60" s="6"/>
      <c r="T60" s="6"/>
      <c r="U60" s="6"/>
      <c r="V60" s="6"/>
      <c r="W60" s="6"/>
      <c r="X60" s="6"/>
      <c r="Y60" s="6"/>
      <c r="Z60" s="6"/>
      <c r="AA60" s="6"/>
      <c r="AB60" s="6"/>
      <c r="AC60" s="6"/>
    </row>
    <row r="61" spans="3:29" x14ac:dyDescent="0.3">
      <c r="C61" s="6"/>
      <c r="D61" s="6"/>
      <c r="E61" s="6"/>
      <c r="F61" s="6"/>
      <c r="G61" s="6"/>
      <c r="H61" s="6"/>
      <c r="I61" s="6"/>
      <c r="J61" s="6"/>
      <c r="K61" s="6"/>
      <c r="L61" s="6"/>
      <c r="M61" s="6"/>
      <c r="N61" s="6"/>
      <c r="O61" s="6"/>
      <c r="P61" s="6"/>
      <c r="Q61" s="6"/>
      <c r="R61" s="6"/>
      <c r="S61" s="6"/>
      <c r="T61" s="6"/>
      <c r="U61" s="6"/>
      <c r="V61" s="6"/>
      <c r="W61" s="6"/>
      <c r="X61" s="6"/>
      <c r="Y61" s="6"/>
      <c r="Z61" s="6"/>
      <c r="AA61" s="6"/>
      <c r="AB61" s="6"/>
      <c r="AC61" s="6"/>
    </row>
    <row r="62" spans="3:29" x14ac:dyDescent="0.3">
      <c r="C62" s="6"/>
      <c r="D62" s="6"/>
      <c r="E62" s="6"/>
      <c r="F62" s="6"/>
      <c r="G62" s="6"/>
      <c r="H62" s="6"/>
      <c r="I62" s="6"/>
      <c r="J62" s="6"/>
      <c r="K62" s="6"/>
      <c r="L62" s="6"/>
      <c r="M62" s="6"/>
      <c r="N62" s="6"/>
      <c r="O62" s="6"/>
      <c r="P62" s="6"/>
      <c r="Q62" s="6"/>
      <c r="R62" s="6"/>
      <c r="S62" s="6"/>
      <c r="T62" s="6"/>
      <c r="U62" s="6"/>
      <c r="V62" s="6"/>
      <c r="W62" s="6"/>
      <c r="X62" s="6"/>
      <c r="Y62" s="6"/>
      <c r="Z62" s="6"/>
      <c r="AA62" s="6"/>
      <c r="AB62" s="6"/>
      <c r="AC62" s="6"/>
    </row>
    <row r="63" spans="3:29" x14ac:dyDescent="0.3">
      <c r="C63" s="6"/>
      <c r="D63" s="6"/>
      <c r="E63" s="6"/>
      <c r="F63" s="6"/>
      <c r="G63" s="6"/>
      <c r="H63" s="6"/>
      <c r="I63" s="6"/>
      <c r="J63" s="6"/>
      <c r="K63" s="6"/>
      <c r="L63" s="6"/>
      <c r="M63" s="6"/>
      <c r="N63" s="6"/>
      <c r="O63" s="6"/>
      <c r="P63" s="6"/>
      <c r="Q63" s="6"/>
      <c r="R63" s="6"/>
      <c r="S63" s="6"/>
      <c r="T63" s="6"/>
      <c r="U63" s="6"/>
      <c r="V63" s="6"/>
      <c r="W63" s="6"/>
      <c r="X63" s="6"/>
      <c r="Y63" s="6"/>
      <c r="Z63" s="6"/>
      <c r="AA63" s="6"/>
      <c r="AB63" s="6"/>
      <c r="AC63" s="6"/>
    </row>
    <row r="64" spans="3:29" x14ac:dyDescent="0.3">
      <c r="C64" s="6"/>
      <c r="D64" s="6"/>
      <c r="E64" s="6"/>
      <c r="F64" s="6"/>
      <c r="G64" s="6"/>
      <c r="H64" s="6"/>
      <c r="I64" s="6"/>
      <c r="J64" s="6"/>
      <c r="K64" s="6"/>
      <c r="L64" s="6"/>
      <c r="M64" s="6"/>
      <c r="N64" s="6"/>
      <c r="O64" s="6"/>
      <c r="P64" s="6"/>
      <c r="Q64" s="6"/>
      <c r="R64" s="6"/>
      <c r="S64" s="6"/>
      <c r="T64" s="6"/>
      <c r="U64" s="6"/>
      <c r="V64" s="6"/>
      <c r="W64" s="6"/>
      <c r="X64" s="6"/>
      <c r="Y64" s="6"/>
      <c r="Z64" s="6"/>
      <c r="AA64" s="6"/>
      <c r="AB64" s="6"/>
      <c r="AC64" s="6"/>
    </row>
    <row r="65" spans="3:29" x14ac:dyDescent="0.3">
      <c r="C65" s="6"/>
      <c r="D65" s="6"/>
      <c r="E65" s="6"/>
      <c r="F65" s="6"/>
      <c r="G65" s="6"/>
      <c r="H65" s="6"/>
      <c r="I65" s="6"/>
      <c r="J65" s="6"/>
      <c r="K65" s="6"/>
      <c r="L65" s="6"/>
      <c r="M65" s="6"/>
      <c r="N65" s="6"/>
      <c r="O65" s="6"/>
      <c r="P65" s="6"/>
      <c r="Q65" s="6"/>
      <c r="R65" s="6"/>
      <c r="S65" s="6"/>
      <c r="T65" s="6"/>
      <c r="U65" s="6"/>
      <c r="V65" s="6"/>
      <c r="W65" s="6"/>
      <c r="X65" s="6"/>
      <c r="Y65" s="6"/>
      <c r="Z65" s="6"/>
      <c r="AA65" s="6"/>
      <c r="AB65" s="6"/>
      <c r="AC65" s="6"/>
    </row>
    <row r="66" spans="3:29" x14ac:dyDescent="0.3">
      <c r="C66" s="6"/>
      <c r="D66" s="6"/>
      <c r="E66" s="6"/>
      <c r="F66" s="6"/>
      <c r="G66" s="6"/>
      <c r="H66" s="6"/>
      <c r="I66" s="6"/>
      <c r="J66" s="6"/>
      <c r="K66" s="6"/>
      <c r="L66" s="6"/>
      <c r="M66" s="6"/>
      <c r="N66" s="6"/>
      <c r="O66" s="6"/>
      <c r="P66" s="6"/>
      <c r="Q66" s="6"/>
      <c r="R66" s="6"/>
      <c r="S66" s="6"/>
      <c r="T66" s="6"/>
      <c r="U66" s="6"/>
      <c r="V66" s="6"/>
      <c r="W66" s="6"/>
      <c r="X66" s="6"/>
      <c r="Y66" s="6"/>
      <c r="Z66" s="6"/>
      <c r="AA66" s="6"/>
      <c r="AB66" s="6"/>
      <c r="AC66" s="6"/>
    </row>
    <row r="67" spans="3:29" x14ac:dyDescent="0.3">
      <c r="C67" s="6"/>
      <c r="D67" s="6"/>
      <c r="E67" s="6"/>
      <c r="F67" s="6"/>
      <c r="G67" s="6"/>
      <c r="H67" s="6"/>
      <c r="I67" s="6"/>
      <c r="J67" s="6"/>
      <c r="K67" s="6"/>
      <c r="L67" s="6"/>
      <c r="M67" s="6"/>
      <c r="N67" s="6"/>
      <c r="O67" s="6"/>
      <c r="P67" s="6"/>
      <c r="Q67" s="6"/>
      <c r="R67" s="6"/>
      <c r="S67" s="6"/>
      <c r="T67" s="6"/>
      <c r="U67" s="6"/>
      <c r="V67" s="6"/>
      <c r="W67" s="6"/>
      <c r="X67" s="6"/>
      <c r="Y67" s="6"/>
      <c r="Z67" s="6"/>
      <c r="AA67" s="6"/>
      <c r="AB67" s="6"/>
      <c r="AC67" s="6"/>
    </row>
    <row r="68" spans="3:29" x14ac:dyDescent="0.3">
      <c r="C68" s="6"/>
      <c r="D68" s="6"/>
      <c r="E68" s="6"/>
      <c r="F68" s="6"/>
      <c r="G68" s="6"/>
      <c r="H68" s="6"/>
      <c r="I68" s="6"/>
      <c r="J68" s="6"/>
      <c r="K68" s="6"/>
      <c r="L68" s="6"/>
      <c r="M68" s="6"/>
      <c r="N68" s="6"/>
      <c r="O68" s="6"/>
      <c r="P68" s="6"/>
      <c r="Q68" s="6"/>
      <c r="R68" s="6"/>
      <c r="S68" s="6"/>
      <c r="T68" s="6"/>
      <c r="U68" s="6"/>
      <c r="V68" s="6"/>
      <c r="W68" s="6"/>
      <c r="X68" s="6"/>
      <c r="Y68" s="6"/>
      <c r="Z68" s="6"/>
      <c r="AA68" s="6"/>
      <c r="AB68" s="6"/>
      <c r="AC68" s="6"/>
    </row>
    <row r="69" spans="3:29" x14ac:dyDescent="0.3">
      <c r="C69" s="6"/>
      <c r="D69" s="6"/>
      <c r="E69" s="6"/>
      <c r="F69" s="6"/>
      <c r="G69" s="6"/>
      <c r="H69" s="6"/>
      <c r="I69" s="6"/>
      <c r="J69" s="6"/>
      <c r="K69" s="6"/>
      <c r="L69" s="6"/>
      <c r="M69" s="6"/>
      <c r="N69" s="6"/>
      <c r="O69" s="6"/>
      <c r="P69" s="6"/>
      <c r="Q69" s="6"/>
      <c r="R69" s="6"/>
      <c r="S69" s="6"/>
      <c r="T69" s="6"/>
      <c r="U69" s="6"/>
      <c r="V69" s="6"/>
      <c r="W69" s="6"/>
      <c r="X69" s="6"/>
      <c r="Y69" s="6"/>
      <c r="Z69" s="6"/>
      <c r="AA69" s="6"/>
      <c r="AB69" s="6"/>
      <c r="AC69" s="6"/>
    </row>
    <row r="70" spans="3:29" x14ac:dyDescent="0.3">
      <c r="C70" s="6"/>
      <c r="D70" s="6"/>
      <c r="E70" s="6"/>
      <c r="F70" s="6"/>
      <c r="G70" s="6"/>
      <c r="H70" s="6"/>
      <c r="I70" s="6"/>
      <c r="J70" s="6"/>
      <c r="K70" s="6"/>
      <c r="L70" s="6"/>
      <c r="M70" s="6"/>
      <c r="N70" s="6"/>
      <c r="O70" s="6"/>
      <c r="P70" s="6"/>
      <c r="Q70" s="6"/>
      <c r="R70" s="6"/>
      <c r="S70" s="6"/>
      <c r="T70" s="6"/>
      <c r="U70" s="6"/>
      <c r="V70" s="6"/>
      <c r="W70" s="6"/>
      <c r="X70" s="6"/>
      <c r="Y70" s="6"/>
      <c r="Z70" s="6"/>
      <c r="AA70" s="6"/>
      <c r="AB70" s="6"/>
      <c r="AC70" s="6"/>
    </row>
    <row r="71" spans="3:29" x14ac:dyDescent="0.3">
      <c r="C71" s="6"/>
      <c r="D71" s="6"/>
      <c r="E71" s="6"/>
      <c r="F71" s="6"/>
      <c r="G71" s="6"/>
      <c r="H71" s="6"/>
      <c r="I71" s="6"/>
      <c r="J71" s="6"/>
      <c r="K71" s="6"/>
      <c r="L71" s="6"/>
      <c r="M71" s="6"/>
      <c r="N71" s="6"/>
      <c r="O71" s="6"/>
      <c r="P71" s="6"/>
      <c r="Q71" s="6"/>
      <c r="R71" s="6"/>
      <c r="S71" s="6"/>
      <c r="T71" s="6"/>
      <c r="U71" s="6"/>
      <c r="V71" s="6"/>
      <c r="W71" s="6"/>
      <c r="X71" s="6"/>
      <c r="Y71" s="6"/>
      <c r="Z71" s="6"/>
      <c r="AA71" s="6"/>
      <c r="AB71" s="6"/>
      <c r="AC71" s="6"/>
    </row>
    <row r="72" spans="3:29" x14ac:dyDescent="0.3">
      <c r="C72" s="6"/>
      <c r="D72" s="6"/>
      <c r="E72" s="6"/>
      <c r="F72" s="6"/>
      <c r="G72" s="6"/>
      <c r="H72" s="6"/>
      <c r="I72" s="6"/>
      <c r="J72" s="6"/>
      <c r="K72" s="6"/>
      <c r="L72" s="6"/>
      <c r="M72" s="6"/>
      <c r="N72" s="6"/>
      <c r="O72" s="6"/>
      <c r="P72" s="6"/>
      <c r="Q72" s="6"/>
      <c r="R72" s="6"/>
      <c r="S72" s="6"/>
      <c r="T72" s="6"/>
      <c r="U72" s="6"/>
      <c r="V72" s="6"/>
      <c r="W72" s="6"/>
      <c r="X72" s="6"/>
      <c r="Y72" s="6"/>
      <c r="Z72" s="6"/>
      <c r="AA72" s="6"/>
      <c r="AB72" s="6"/>
      <c r="AC72" s="6"/>
    </row>
    <row r="73" spans="3:29" x14ac:dyDescent="0.3">
      <c r="C73" s="6"/>
      <c r="D73" s="6"/>
      <c r="E73" s="6"/>
      <c r="F73" s="6"/>
      <c r="G73" s="6"/>
      <c r="H73" s="6"/>
      <c r="I73" s="6"/>
      <c r="J73" s="6"/>
      <c r="K73" s="6"/>
      <c r="L73" s="6"/>
      <c r="M73" s="6"/>
      <c r="N73" s="6"/>
      <c r="O73" s="6"/>
      <c r="P73" s="6"/>
      <c r="Q73" s="6"/>
      <c r="R73" s="6"/>
      <c r="S73" s="6"/>
      <c r="T73" s="6"/>
      <c r="U73" s="6"/>
      <c r="V73" s="6"/>
      <c r="W73" s="6"/>
      <c r="X73" s="6"/>
      <c r="Y73" s="6"/>
      <c r="Z73" s="6"/>
      <c r="AA73" s="6"/>
      <c r="AB73" s="6"/>
      <c r="AC73" s="6"/>
    </row>
    <row r="74" spans="3:29" x14ac:dyDescent="0.3">
      <c r="C74" s="6"/>
      <c r="D74" s="6"/>
      <c r="E74" s="6"/>
      <c r="F74" s="6"/>
      <c r="G74" s="6"/>
      <c r="H74" s="6"/>
      <c r="I74" s="6"/>
      <c r="J74" s="6"/>
      <c r="K74" s="6"/>
      <c r="L74" s="6"/>
      <c r="M74" s="6"/>
      <c r="N74" s="6"/>
      <c r="O74" s="6"/>
      <c r="P74" s="6"/>
      <c r="Q74" s="6"/>
      <c r="R74" s="6"/>
      <c r="S74" s="6"/>
      <c r="T74" s="6"/>
      <c r="U74" s="6"/>
      <c r="V74" s="6"/>
      <c r="W74" s="6"/>
      <c r="X74" s="6"/>
      <c r="Y74" s="6"/>
      <c r="Z74" s="6"/>
      <c r="AA74" s="6"/>
      <c r="AB74" s="6"/>
      <c r="AC74" s="6"/>
    </row>
    <row r="75" spans="3:29" x14ac:dyDescent="0.3">
      <c r="C75" s="6"/>
      <c r="D75" s="6"/>
      <c r="E75" s="6"/>
      <c r="F75" s="6"/>
      <c r="G75" s="6"/>
      <c r="H75" s="6"/>
      <c r="I75" s="6"/>
      <c r="J75" s="6"/>
      <c r="K75" s="6"/>
      <c r="L75" s="6"/>
      <c r="M75" s="6"/>
      <c r="N75" s="6"/>
      <c r="O75" s="6"/>
      <c r="P75" s="6"/>
      <c r="Q75" s="6"/>
      <c r="R75" s="6"/>
      <c r="S75" s="6"/>
      <c r="T75" s="6"/>
      <c r="U75" s="6"/>
      <c r="V75" s="6"/>
      <c r="W75" s="6"/>
      <c r="X75" s="6"/>
      <c r="Y75" s="6"/>
      <c r="Z75" s="6"/>
      <c r="AA75" s="6"/>
      <c r="AB75" s="6"/>
      <c r="AC75" s="6"/>
    </row>
    <row r="76" spans="3:29" x14ac:dyDescent="0.3">
      <c r="C76" s="6"/>
      <c r="D76" s="6"/>
      <c r="E76" s="6"/>
      <c r="F76" s="6"/>
      <c r="G76" s="6"/>
      <c r="H76" s="6"/>
      <c r="I76" s="6"/>
      <c r="J76" s="6"/>
      <c r="K76" s="6"/>
      <c r="L76" s="6"/>
      <c r="M76" s="6"/>
      <c r="N76" s="6"/>
      <c r="O76" s="6"/>
      <c r="P76" s="6"/>
      <c r="Q76" s="6"/>
      <c r="R76" s="6"/>
      <c r="S76" s="6"/>
      <c r="T76" s="6"/>
      <c r="U76" s="6"/>
      <c r="V76" s="6"/>
      <c r="W76" s="6"/>
      <c r="X76" s="6"/>
      <c r="Y76" s="6"/>
      <c r="Z76" s="6"/>
      <c r="AA76" s="6"/>
      <c r="AB76" s="6"/>
      <c r="AC76" s="6"/>
    </row>
    <row r="77" spans="3:29" x14ac:dyDescent="0.3">
      <c r="C77" s="6"/>
      <c r="D77" s="6"/>
      <c r="E77" s="6"/>
      <c r="F77" s="6"/>
      <c r="G77" s="6"/>
      <c r="H77" s="6"/>
      <c r="I77" s="6"/>
      <c r="J77" s="6"/>
      <c r="K77" s="6"/>
      <c r="L77" s="6"/>
      <c r="M77" s="6"/>
      <c r="N77" s="6"/>
      <c r="O77" s="6"/>
      <c r="P77" s="6"/>
      <c r="Q77" s="6"/>
      <c r="R77" s="6"/>
      <c r="S77" s="6"/>
      <c r="T77" s="6"/>
      <c r="U77" s="6"/>
      <c r="V77" s="6"/>
      <c r="W77" s="6"/>
      <c r="X77" s="6"/>
      <c r="Y77" s="6"/>
      <c r="Z77" s="6"/>
      <c r="AA77" s="6"/>
      <c r="AB77" s="6"/>
      <c r="AC77" s="6"/>
    </row>
    <row r="78" spans="3:29" x14ac:dyDescent="0.3">
      <c r="C78" s="6"/>
      <c r="D78" s="6"/>
      <c r="E78" s="6"/>
      <c r="F78" s="6"/>
      <c r="G78" s="6"/>
      <c r="H78" s="6"/>
      <c r="I78" s="6"/>
      <c r="J78" s="6"/>
      <c r="K78" s="6"/>
      <c r="L78" s="6"/>
      <c r="M78" s="6"/>
      <c r="N78" s="6"/>
      <c r="O78" s="6"/>
      <c r="P78" s="6"/>
      <c r="Q78" s="6"/>
      <c r="R78" s="6"/>
      <c r="S78" s="6"/>
      <c r="T78" s="6"/>
      <c r="U78" s="6"/>
      <c r="V78" s="6"/>
      <c r="W78" s="6"/>
      <c r="X78" s="6"/>
      <c r="Y78" s="6"/>
      <c r="Z78" s="6"/>
      <c r="AA78" s="6"/>
      <c r="AB78" s="6"/>
      <c r="AC78" s="6"/>
    </row>
    <row r="79" spans="3:29" x14ac:dyDescent="0.3">
      <c r="C79" s="6"/>
      <c r="D79" s="6"/>
      <c r="E79" s="6"/>
      <c r="F79" s="6"/>
      <c r="G79" s="6"/>
      <c r="H79" s="6"/>
      <c r="I79" s="6"/>
      <c r="J79" s="6"/>
      <c r="K79" s="6"/>
      <c r="L79" s="6"/>
      <c r="M79" s="6"/>
      <c r="N79" s="6"/>
      <c r="O79" s="6"/>
      <c r="P79" s="6"/>
      <c r="Q79" s="6"/>
      <c r="R79" s="6"/>
      <c r="S79" s="6"/>
      <c r="T79" s="6"/>
      <c r="U79" s="6"/>
      <c r="V79" s="6"/>
      <c r="W79" s="6"/>
      <c r="X79" s="6"/>
      <c r="Y79" s="6"/>
      <c r="Z79" s="6"/>
      <c r="AA79" s="6"/>
      <c r="AB79" s="6"/>
      <c r="AC79" s="6"/>
    </row>
    <row r="80" spans="3:29" x14ac:dyDescent="0.3">
      <c r="C80" s="6"/>
      <c r="D80" s="6"/>
      <c r="E80" s="6"/>
      <c r="F80" s="6"/>
      <c r="G80" s="6"/>
      <c r="H80" s="6"/>
      <c r="I80" s="6"/>
      <c r="J80" s="6"/>
      <c r="K80" s="6"/>
      <c r="L80" s="6"/>
      <c r="M80" s="6"/>
      <c r="N80" s="6"/>
      <c r="O80" s="6"/>
      <c r="P80" s="6"/>
      <c r="Q80" s="6"/>
      <c r="R80" s="6"/>
      <c r="S80" s="6"/>
      <c r="T80" s="6"/>
      <c r="U80" s="6"/>
      <c r="V80" s="6"/>
      <c r="W80" s="6"/>
      <c r="X80" s="6"/>
      <c r="Y80" s="6"/>
      <c r="Z80" s="6"/>
      <c r="AA80" s="6"/>
      <c r="AB80" s="6"/>
      <c r="AC80" s="6"/>
    </row>
    <row r="81" spans="3:29" x14ac:dyDescent="0.3">
      <c r="C81" s="6"/>
      <c r="D81" s="6"/>
      <c r="E81" s="6"/>
      <c r="F81" s="6"/>
      <c r="G81" s="6"/>
      <c r="H81" s="6"/>
      <c r="I81" s="6"/>
      <c r="J81" s="6"/>
      <c r="K81" s="6"/>
      <c r="L81" s="6"/>
      <c r="M81" s="6"/>
      <c r="N81" s="6"/>
      <c r="O81" s="6"/>
      <c r="P81" s="6"/>
      <c r="Q81" s="6"/>
      <c r="R81" s="6"/>
      <c r="S81" s="6"/>
      <c r="T81" s="6"/>
      <c r="U81" s="6"/>
      <c r="V81" s="6"/>
      <c r="W81" s="6"/>
      <c r="X81" s="6"/>
      <c r="Y81" s="6"/>
      <c r="Z81" s="6"/>
      <c r="AA81" s="6"/>
      <c r="AB81" s="6"/>
      <c r="AC81" s="6"/>
    </row>
    <row r="82" spans="3:29" x14ac:dyDescent="0.3">
      <c r="C82" s="6"/>
      <c r="D82" s="6"/>
      <c r="E82" s="6"/>
      <c r="F82" s="6"/>
      <c r="G82" s="6"/>
      <c r="H82" s="6"/>
      <c r="I82" s="6"/>
      <c r="J82" s="6"/>
      <c r="K82" s="6"/>
      <c r="L82" s="6"/>
      <c r="M82" s="6"/>
      <c r="N82" s="6"/>
      <c r="O82" s="6"/>
      <c r="P82" s="6"/>
      <c r="Q82" s="6"/>
      <c r="R82" s="6"/>
      <c r="S82" s="6"/>
      <c r="T82" s="6"/>
      <c r="U82" s="6"/>
      <c r="V82" s="6"/>
      <c r="W82" s="6"/>
      <c r="X82" s="6"/>
      <c r="Y82" s="6"/>
      <c r="Z82" s="6"/>
      <c r="AA82" s="6"/>
      <c r="AB82" s="6"/>
      <c r="AC82" s="6"/>
    </row>
    <row r="83" spans="3:29" x14ac:dyDescent="0.3">
      <c r="C83" s="6"/>
      <c r="D83" s="6"/>
      <c r="E83" s="6"/>
      <c r="F83" s="6"/>
      <c r="G83" s="6"/>
      <c r="H83" s="6"/>
      <c r="I83" s="6"/>
      <c r="J83" s="6"/>
      <c r="K83" s="6"/>
      <c r="L83" s="6"/>
      <c r="M83" s="6"/>
      <c r="N83" s="6"/>
      <c r="O83" s="6"/>
      <c r="P83" s="6"/>
      <c r="Q83" s="6"/>
      <c r="R83" s="6"/>
      <c r="S83" s="6"/>
      <c r="T83" s="6"/>
      <c r="U83" s="6"/>
      <c r="V83" s="6"/>
      <c r="W83" s="6"/>
      <c r="X83" s="6"/>
      <c r="Y83" s="6"/>
      <c r="Z83" s="6"/>
      <c r="AA83" s="6"/>
      <c r="AB83" s="6"/>
      <c r="AC83" s="6"/>
    </row>
    <row r="84" spans="3:29" x14ac:dyDescent="0.3">
      <c r="C84" s="6"/>
      <c r="D84" s="6"/>
      <c r="E84" s="6"/>
      <c r="F84" s="6"/>
      <c r="G84" s="6"/>
      <c r="H84" s="6"/>
      <c r="I84" s="6"/>
      <c r="J84" s="6"/>
      <c r="K84" s="6"/>
      <c r="L84" s="6"/>
      <c r="M84" s="6"/>
      <c r="N84" s="6"/>
      <c r="O84" s="6"/>
      <c r="P84" s="6"/>
      <c r="Q84" s="6"/>
      <c r="R84" s="6"/>
      <c r="S84" s="6"/>
      <c r="T84" s="6"/>
      <c r="U84" s="6"/>
      <c r="V84" s="6"/>
      <c r="W84" s="6"/>
      <c r="X84" s="6"/>
      <c r="Y84" s="6"/>
      <c r="Z84" s="6"/>
      <c r="AA84" s="6"/>
      <c r="AB84" s="6"/>
      <c r="AC84" s="6"/>
    </row>
    <row r="85" spans="3:29" x14ac:dyDescent="0.3">
      <c r="C85" s="6"/>
      <c r="D85" s="6"/>
      <c r="E85" s="6"/>
      <c r="F85" s="6"/>
      <c r="G85" s="6"/>
      <c r="H85" s="6"/>
      <c r="I85" s="6"/>
      <c r="J85" s="6"/>
      <c r="K85" s="6"/>
      <c r="L85" s="6"/>
      <c r="M85" s="6"/>
      <c r="N85" s="6"/>
      <c r="O85" s="6"/>
      <c r="P85" s="6"/>
      <c r="Q85" s="6"/>
      <c r="R85" s="6"/>
      <c r="S85" s="6"/>
      <c r="T85" s="6"/>
      <c r="U85" s="6"/>
      <c r="V85" s="6"/>
      <c r="W85" s="6"/>
      <c r="X85" s="6"/>
      <c r="Y85" s="6"/>
      <c r="Z85" s="6"/>
      <c r="AA85" s="6"/>
      <c r="AB85" s="6"/>
      <c r="AC85" s="6"/>
    </row>
    <row r="86" spans="3:29" x14ac:dyDescent="0.3">
      <c r="C86" s="6"/>
      <c r="D86" s="6"/>
      <c r="E86" s="6"/>
      <c r="F86" s="6"/>
      <c r="G86" s="6"/>
      <c r="H86" s="6"/>
      <c r="I86" s="6"/>
      <c r="J86" s="6"/>
      <c r="K86" s="6"/>
      <c r="L86" s="6"/>
      <c r="M86" s="6"/>
      <c r="N86" s="6"/>
      <c r="O86" s="6"/>
      <c r="P86" s="6"/>
      <c r="Q86" s="6"/>
      <c r="R86" s="6"/>
      <c r="S86" s="6"/>
      <c r="T86" s="6"/>
      <c r="U86" s="6"/>
      <c r="V86" s="6"/>
      <c r="W86" s="6"/>
      <c r="X86" s="6"/>
      <c r="Y86" s="6"/>
      <c r="Z86" s="6"/>
      <c r="AA86" s="6"/>
      <c r="AB86" s="6"/>
      <c r="AC86" s="6"/>
    </row>
    <row r="87" spans="3:29" x14ac:dyDescent="0.3">
      <c r="C87" s="6"/>
      <c r="D87" s="6"/>
      <c r="E87" s="6"/>
      <c r="F87" s="6"/>
      <c r="G87" s="6"/>
      <c r="H87" s="6"/>
      <c r="I87" s="6"/>
      <c r="J87" s="6"/>
      <c r="K87" s="6"/>
      <c r="L87" s="6"/>
      <c r="M87" s="6"/>
      <c r="N87" s="6"/>
      <c r="O87" s="6"/>
      <c r="P87" s="6"/>
      <c r="Q87" s="6"/>
      <c r="R87" s="6"/>
      <c r="S87" s="6"/>
      <c r="T87" s="6"/>
      <c r="U87" s="6"/>
      <c r="V87" s="6"/>
      <c r="W87" s="6"/>
      <c r="X87" s="6"/>
      <c r="Y87" s="6"/>
      <c r="Z87" s="6"/>
      <c r="AA87" s="6"/>
      <c r="AB87" s="6"/>
      <c r="AC87" s="6"/>
    </row>
    <row r="88" spans="3:29" x14ac:dyDescent="0.3">
      <c r="C88" s="6"/>
      <c r="D88" s="6"/>
      <c r="E88" s="6"/>
      <c r="F88" s="6"/>
      <c r="G88" s="6"/>
      <c r="H88" s="6"/>
      <c r="I88" s="6"/>
      <c r="J88" s="6"/>
      <c r="K88" s="6"/>
      <c r="L88" s="6"/>
      <c r="M88" s="6"/>
      <c r="N88" s="6"/>
      <c r="O88" s="6"/>
      <c r="P88" s="6"/>
      <c r="Q88" s="6"/>
      <c r="R88" s="6"/>
      <c r="S88" s="6"/>
      <c r="T88" s="6"/>
      <c r="U88" s="6"/>
      <c r="V88" s="6"/>
      <c r="W88" s="6"/>
      <c r="X88" s="6"/>
      <c r="Y88" s="6"/>
      <c r="Z88" s="6"/>
      <c r="AA88" s="6"/>
      <c r="AB88" s="6"/>
      <c r="AC88" s="6"/>
    </row>
    <row r="89" spans="3:29" x14ac:dyDescent="0.3">
      <c r="C89" s="6"/>
      <c r="D89" s="6"/>
      <c r="E89" s="6"/>
      <c r="F89" s="6"/>
      <c r="G89" s="6"/>
      <c r="H89" s="6"/>
      <c r="I89" s="6"/>
      <c r="J89" s="6"/>
      <c r="K89" s="6"/>
      <c r="L89" s="6"/>
      <c r="M89" s="6"/>
      <c r="N89" s="6"/>
      <c r="O89" s="6"/>
      <c r="P89" s="6"/>
      <c r="Q89" s="6"/>
      <c r="R89" s="6"/>
      <c r="S89" s="6"/>
      <c r="T89" s="6"/>
      <c r="U89" s="6"/>
      <c r="V89" s="6"/>
      <c r="W89" s="6"/>
      <c r="X89" s="6"/>
      <c r="Y89" s="6"/>
      <c r="Z89" s="6"/>
      <c r="AA89" s="6"/>
      <c r="AB89" s="6"/>
      <c r="AC89" s="6"/>
    </row>
    <row r="90" spans="3:29" x14ac:dyDescent="0.3">
      <c r="C90" s="6"/>
      <c r="D90" s="6"/>
      <c r="E90" s="6"/>
      <c r="F90" s="6"/>
      <c r="G90" s="6"/>
      <c r="H90" s="6"/>
      <c r="I90" s="6"/>
      <c r="J90" s="6"/>
      <c r="K90" s="6"/>
      <c r="L90" s="6"/>
      <c r="M90" s="6"/>
      <c r="N90" s="6"/>
      <c r="O90" s="6"/>
      <c r="P90" s="6"/>
      <c r="Q90" s="6"/>
      <c r="R90" s="6"/>
      <c r="S90" s="6"/>
      <c r="T90" s="6"/>
      <c r="U90" s="6"/>
      <c r="V90" s="6"/>
      <c r="W90" s="6"/>
      <c r="X90" s="6"/>
      <c r="Y90" s="6"/>
      <c r="Z90" s="6"/>
      <c r="AA90" s="6"/>
      <c r="AB90" s="6"/>
      <c r="AC90" s="6"/>
    </row>
    <row r="91" spans="3:29" x14ac:dyDescent="0.3">
      <c r="C91" s="6"/>
      <c r="D91" s="6"/>
      <c r="E91" s="6"/>
      <c r="F91" s="6"/>
      <c r="G91" s="6"/>
      <c r="H91" s="6"/>
      <c r="I91" s="6"/>
      <c r="J91" s="6"/>
      <c r="K91" s="6"/>
      <c r="L91" s="6"/>
      <c r="M91" s="6"/>
      <c r="N91" s="6"/>
      <c r="O91" s="6"/>
      <c r="P91" s="6"/>
      <c r="Q91" s="6"/>
      <c r="R91" s="6"/>
      <c r="S91" s="6"/>
      <c r="T91" s="6"/>
      <c r="U91" s="6"/>
      <c r="V91" s="6"/>
      <c r="W91" s="6"/>
      <c r="X91" s="6"/>
      <c r="Y91" s="6"/>
      <c r="Z91" s="6"/>
      <c r="AA91" s="6"/>
      <c r="AB91" s="6"/>
      <c r="AC91" s="6"/>
    </row>
    <row r="92" spans="3:29" x14ac:dyDescent="0.3">
      <c r="C92" s="6"/>
      <c r="D92" s="6"/>
      <c r="E92" s="6"/>
      <c r="F92" s="6"/>
      <c r="G92" s="6"/>
      <c r="H92" s="6"/>
      <c r="I92" s="6"/>
      <c r="J92" s="6"/>
      <c r="K92" s="6"/>
      <c r="L92" s="6"/>
      <c r="M92" s="6"/>
      <c r="N92" s="6"/>
      <c r="O92" s="6"/>
      <c r="P92" s="6"/>
      <c r="Q92" s="6"/>
      <c r="R92" s="6"/>
      <c r="S92" s="6"/>
      <c r="T92" s="6"/>
      <c r="U92" s="6"/>
      <c r="V92" s="6"/>
      <c r="W92" s="6"/>
      <c r="X92" s="6"/>
      <c r="Y92" s="6"/>
      <c r="Z92" s="6"/>
      <c r="AA92" s="6"/>
      <c r="AB92" s="6"/>
      <c r="AC92" s="6"/>
    </row>
    <row r="93" spans="3:29" x14ac:dyDescent="0.3">
      <c r="C93" s="6"/>
      <c r="D93" s="6"/>
      <c r="E93" s="6"/>
      <c r="F93" s="6"/>
      <c r="G93" s="6"/>
      <c r="H93" s="6"/>
      <c r="I93" s="6"/>
      <c r="J93" s="6"/>
      <c r="K93" s="6"/>
      <c r="L93" s="6"/>
      <c r="M93" s="6"/>
      <c r="N93" s="6"/>
      <c r="O93" s="6"/>
      <c r="P93" s="6"/>
      <c r="Q93" s="6"/>
      <c r="R93" s="6"/>
      <c r="S93" s="6"/>
      <c r="T93" s="6"/>
      <c r="U93" s="6"/>
      <c r="V93" s="6"/>
      <c r="W93" s="6"/>
      <c r="X93" s="6"/>
      <c r="Y93" s="6"/>
      <c r="Z93" s="6"/>
      <c r="AA93" s="6"/>
      <c r="AB93" s="6"/>
      <c r="AC93" s="6"/>
    </row>
    <row r="94" spans="3:29" x14ac:dyDescent="0.3">
      <c r="C94" s="6"/>
      <c r="D94" s="6"/>
      <c r="E94" s="6"/>
      <c r="F94" s="6"/>
      <c r="G94" s="6"/>
      <c r="H94" s="6"/>
      <c r="I94" s="6"/>
      <c r="J94" s="6"/>
      <c r="K94" s="6"/>
      <c r="L94" s="6"/>
      <c r="M94" s="6"/>
      <c r="N94" s="6"/>
      <c r="O94" s="6"/>
      <c r="P94" s="6"/>
      <c r="Q94" s="6"/>
      <c r="R94" s="6"/>
      <c r="S94" s="6"/>
      <c r="T94" s="6"/>
      <c r="U94" s="6"/>
      <c r="V94" s="6"/>
      <c r="W94" s="6"/>
      <c r="X94" s="6"/>
      <c r="Y94" s="6"/>
      <c r="Z94" s="6"/>
      <c r="AA94" s="6"/>
      <c r="AB94" s="6"/>
      <c r="AC94" s="6"/>
    </row>
    <row r="95" spans="3:29" x14ac:dyDescent="0.3">
      <c r="C95" s="6"/>
      <c r="D95" s="6"/>
      <c r="E95" s="6"/>
      <c r="F95" s="6"/>
      <c r="G95" s="6"/>
      <c r="H95" s="6"/>
      <c r="I95" s="6"/>
      <c r="J95" s="6"/>
      <c r="K95" s="6"/>
      <c r="L95" s="6"/>
      <c r="M95" s="6"/>
      <c r="N95" s="6"/>
      <c r="O95" s="6"/>
      <c r="P95" s="6"/>
      <c r="Q95" s="6"/>
      <c r="R95" s="6"/>
      <c r="S95" s="6"/>
      <c r="T95" s="6"/>
      <c r="U95" s="6"/>
      <c r="V95" s="6"/>
      <c r="W95" s="6"/>
      <c r="X95" s="6"/>
      <c r="Y95" s="6"/>
      <c r="Z95" s="6"/>
      <c r="AA95" s="6"/>
      <c r="AB95" s="6"/>
      <c r="AC95" s="6"/>
    </row>
    <row r="96" spans="3:29" x14ac:dyDescent="0.3">
      <c r="C96" s="6"/>
      <c r="D96" s="6"/>
      <c r="E96" s="6"/>
      <c r="F96" s="6"/>
      <c r="G96" s="6"/>
      <c r="H96" s="6"/>
      <c r="I96" s="6"/>
      <c r="J96" s="6"/>
      <c r="K96" s="6"/>
      <c r="L96" s="6"/>
      <c r="M96" s="6"/>
      <c r="N96" s="6"/>
      <c r="O96" s="6"/>
      <c r="P96" s="6"/>
      <c r="Q96" s="6"/>
      <c r="R96" s="6"/>
      <c r="S96" s="6"/>
      <c r="T96" s="6"/>
      <c r="U96" s="6"/>
      <c r="V96" s="6"/>
      <c r="W96" s="6"/>
      <c r="X96" s="6"/>
      <c r="Y96" s="6"/>
      <c r="Z96" s="6"/>
      <c r="AA96" s="6"/>
      <c r="AB96" s="6"/>
      <c r="AC96" s="6"/>
    </row>
    <row r="97" spans="3:29" x14ac:dyDescent="0.3">
      <c r="C97" s="6"/>
      <c r="D97" s="6"/>
      <c r="E97" s="6"/>
      <c r="F97" s="6"/>
      <c r="G97" s="6"/>
      <c r="H97" s="6"/>
      <c r="I97" s="6"/>
      <c r="J97" s="6"/>
      <c r="K97" s="6"/>
      <c r="L97" s="6"/>
      <c r="M97" s="6"/>
      <c r="N97" s="6"/>
      <c r="O97" s="6"/>
      <c r="P97" s="6"/>
      <c r="Q97" s="6"/>
      <c r="R97" s="6"/>
      <c r="S97" s="6"/>
      <c r="T97" s="6"/>
      <c r="U97" s="6"/>
      <c r="V97" s="6"/>
      <c r="W97" s="6"/>
      <c r="X97" s="6"/>
      <c r="Y97" s="6"/>
      <c r="Z97" s="6"/>
      <c r="AA97" s="6"/>
      <c r="AB97" s="6"/>
      <c r="AC97" s="6"/>
    </row>
    <row r="98" spans="3:29" x14ac:dyDescent="0.3">
      <c r="C98" s="6"/>
      <c r="D98" s="6"/>
      <c r="E98" s="6"/>
      <c r="F98" s="6"/>
      <c r="G98" s="6"/>
      <c r="H98" s="6"/>
      <c r="I98" s="6"/>
      <c r="J98" s="6"/>
      <c r="K98" s="6"/>
      <c r="L98" s="6"/>
      <c r="M98" s="6"/>
      <c r="N98" s="6"/>
      <c r="O98" s="6"/>
      <c r="P98" s="6"/>
      <c r="Q98" s="6"/>
      <c r="R98" s="6"/>
      <c r="S98" s="6"/>
      <c r="T98" s="6"/>
      <c r="U98" s="6"/>
      <c r="V98" s="6"/>
      <c r="W98" s="6"/>
      <c r="X98" s="6"/>
      <c r="Y98" s="6"/>
      <c r="Z98" s="6"/>
      <c r="AA98" s="6"/>
      <c r="AB98" s="6"/>
      <c r="AC98" s="6"/>
    </row>
    <row r="99" spans="3:29" x14ac:dyDescent="0.3">
      <c r="C99" s="6"/>
      <c r="D99" s="6"/>
      <c r="E99" s="6"/>
      <c r="F99" s="6"/>
      <c r="G99" s="6"/>
      <c r="H99" s="6"/>
      <c r="I99" s="6"/>
      <c r="J99" s="6"/>
      <c r="K99" s="6"/>
      <c r="L99" s="6"/>
      <c r="M99" s="6"/>
      <c r="N99" s="6"/>
      <c r="O99" s="6"/>
      <c r="P99" s="6"/>
      <c r="Q99" s="6"/>
      <c r="R99" s="6"/>
      <c r="S99" s="6"/>
      <c r="T99" s="6"/>
      <c r="U99" s="6"/>
      <c r="V99" s="6"/>
      <c r="W99" s="6"/>
      <c r="X99" s="6"/>
      <c r="Y99" s="6"/>
      <c r="Z99" s="6"/>
      <c r="AA99" s="6"/>
      <c r="AB99" s="6"/>
      <c r="AC99" s="6"/>
    </row>
    <row r="100" spans="3:29" x14ac:dyDescent="0.3">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row>
    <row r="101" spans="3:29" x14ac:dyDescent="0.3">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row>
    <row r="102" spans="3:29" x14ac:dyDescent="0.3">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row>
    <row r="103" spans="3:29" x14ac:dyDescent="0.3">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row>
    <row r="104" spans="3:29" x14ac:dyDescent="0.3">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row>
    <row r="105" spans="3:29" x14ac:dyDescent="0.3">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row>
    <row r="106" spans="3:29" x14ac:dyDescent="0.3">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row>
    <row r="107" spans="3:29" x14ac:dyDescent="0.3">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row>
    <row r="108" spans="3:29" x14ac:dyDescent="0.3">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row>
    <row r="109" spans="3:29" x14ac:dyDescent="0.3">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row>
    <row r="110" spans="3:29" x14ac:dyDescent="0.3">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row>
    <row r="111" spans="3:29" x14ac:dyDescent="0.3">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row>
    <row r="112" spans="3:29" x14ac:dyDescent="0.3">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row>
    <row r="113" spans="3:29" x14ac:dyDescent="0.3">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row>
    <row r="114" spans="3:29" x14ac:dyDescent="0.3">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row>
    <row r="115" spans="3:29" x14ac:dyDescent="0.3">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row>
    <row r="116" spans="3:29" x14ac:dyDescent="0.3">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row>
    <row r="117" spans="3:29" x14ac:dyDescent="0.3">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row>
    <row r="118" spans="3:29" x14ac:dyDescent="0.3">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row>
    <row r="119" spans="3:29" x14ac:dyDescent="0.3">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row>
    <row r="120" spans="3:29" x14ac:dyDescent="0.3">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row>
    <row r="121" spans="3:29" x14ac:dyDescent="0.3">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row>
    <row r="122" spans="3:29" x14ac:dyDescent="0.3">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row>
    <row r="123" spans="3:29" x14ac:dyDescent="0.3">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row>
    <row r="124" spans="3:29" x14ac:dyDescent="0.3">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row>
    <row r="125" spans="3:29" x14ac:dyDescent="0.3">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row>
    <row r="126" spans="3:29" x14ac:dyDescent="0.3">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row>
    <row r="127" spans="3:29" x14ac:dyDescent="0.3">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row>
    <row r="128" spans="3:29" x14ac:dyDescent="0.3">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row>
    <row r="129" spans="3:29" x14ac:dyDescent="0.3">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row>
    <row r="130" spans="3:29" x14ac:dyDescent="0.3">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row>
    <row r="131" spans="3:29" x14ac:dyDescent="0.3">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row>
    <row r="132" spans="3:29" x14ac:dyDescent="0.3">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row>
    <row r="133" spans="3:29" x14ac:dyDescent="0.3">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row>
    <row r="134" spans="3:29" x14ac:dyDescent="0.3">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row>
    <row r="135" spans="3:29" x14ac:dyDescent="0.3">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row>
    <row r="136" spans="3:29" x14ac:dyDescent="0.3">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row>
    <row r="137" spans="3:29" x14ac:dyDescent="0.3">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row>
    <row r="138" spans="3:29" x14ac:dyDescent="0.3">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row>
    <row r="139" spans="3:29" x14ac:dyDescent="0.3">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row>
    <row r="140" spans="3:29" x14ac:dyDescent="0.3">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row>
    <row r="141" spans="3:29" x14ac:dyDescent="0.3">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row>
    <row r="142" spans="3:29" x14ac:dyDescent="0.3">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row>
    <row r="143" spans="3:29" x14ac:dyDescent="0.3">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row>
    <row r="144" spans="3:29" x14ac:dyDescent="0.3">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row>
    <row r="145" spans="3:29" x14ac:dyDescent="0.3">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row>
    <row r="146" spans="3:29" x14ac:dyDescent="0.3">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row>
    <row r="147" spans="3:29" x14ac:dyDescent="0.3">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row>
    <row r="148" spans="3:29" x14ac:dyDescent="0.3">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row>
    <row r="149" spans="3:29" x14ac:dyDescent="0.3">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row>
    <row r="150" spans="3:29" x14ac:dyDescent="0.3">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row>
    <row r="151" spans="3:29" x14ac:dyDescent="0.3">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row>
    <row r="152" spans="3:29" x14ac:dyDescent="0.3">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row>
    <row r="153" spans="3:29" x14ac:dyDescent="0.3">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row>
    <row r="154" spans="3:29" x14ac:dyDescent="0.3">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row>
    <row r="155" spans="3:29" x14ac:dyDescent="0.3">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row>
    <row r="156" spans="3:29" x14ac:dyDescent="0.3">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row>
    <row r="157" spans="3:29" x14ac:dyDescent="0.3">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row>
    <row r="158" spans="3:29" x14ac:dyDescent="0.3">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row>
    <row r="159" spans="3:29" x14ac:dyDescent="0.3">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row>
    <row r="160" spans="3:29" x14ac:dyDescent="0.3">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row>
    <row r="161" spans="3:29" x14ac:dyDescent="0.3">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row>
    <row r="162" spans="3:29" x14ac:dyDescent="0.3">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row>
    <row r="163" spans="3:29" x14ac:dyDescent="0.3">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row>
    <row r="164" spans="3:29" x14ac:dyDescent="0.3">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row>
    <row r="165" spans="3:29" x14ac:dyDescent="0.3">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row>
    <row r="166" spans="3:29" x14ac:dyDescent="0.3">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row>
    <row r="167" spans="3:29" x14ac:dyDescent="0.3">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row>
    <row r="168" spans="3:29" x14ac:dyDescent="0.3">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row>
    <row r="169" spans="3:29" x14ac:dyDescent="0.3">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row>
    <row r="170" spans="3:29" x14ac:dyDescent="0.3">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row>
    <row r="171" spans="3:29" x14ac:dyDescent="0.3">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row>
    <row r="172" spans="3:29" x14ac:dyDescent="0.3">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row>
    <row r="173" spans="3:29" x14ac:dyDescent="0.3">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row>
    <row r="174" spans="3:29" x14ac:dyDescent="0.3">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row>
    <row r="175" spans="3:29" x14ac:dyDescent="0.3">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row>
    <row r="176" spans="3:29" x14ac:dyDescent="0.3">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row>
    <row r="177" spans="3:29" x14ac:dyDescent="0.3">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row>
    <row r="178" spans="3:29" x14ac:dyDescent="0.3">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row>
    <row r="179" spans="3:29" x14ac:dyDescent="0.3">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row>
    <row r="180" spans="3:29" x14ac:dyDescent="0.3">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row>
    <row r="181" spans="3:29" x14ac:dyDescent="0.3">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row>
    <row r="182" spans="3:29" x14ac:dyDescent="0.3">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row>
    <row r="183" spans="3:29" x14ac:dyDescent="0.3">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row>
    <row r="184" spans="3:29" x14ac:dyDescent="0.3">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row>
    <row r="185" spans="3:29" x14ac:dyDescent="0.3">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row>
    <row r="186" spans="3:29" x14ac:dyDescent="0.3">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row>
    <row r="187" spans="3:29" x14ac:dyDescent="0.3">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row>
    <row r="188" spans="3:29" x14ac:dyDescent="0.3">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row>
    <row r="189" spans="3:29" x14ac:dyDescent="0.3">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row>
    <row r="190" spans="3:29" x14ac:dyDescent="0.3">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row>
    <row r="191" spans="3:29" x14ac:dyDescent="0.3">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row>
    <row r="192" spans="3:29" x14ac:dyDescent="0.3">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row>
    <row r="193" spans="3:29" x14ac:dyDescent="0.3">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row>
    <row r="194" spans="3:29" x14ac:dyDescent="0.3">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row>
    <row r="195" spans="3:29" x14ac:dyDescent="0.3">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row>
    <row r="196" spans="3:29" x14ac:dyDescent="0.3">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row>
    <row r="197" spans="3:29" x14ac:dyDescent="0.3">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row>
    <row r="198" spans="3:29" x14ac:dyDescent="0.3">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row>
    <row r="199" spans="3:29" x14ac:dyDescent="0.3">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row>
    <row r="200" spans="3:29" x14ac:dyDescent="0.3">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row>
    <row r="201" spans="3:29" x14ac:dyDescent="0.3">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row>
    <row r="202" spans="3:29" x14ac:dyDescent="0.3">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row>
    <row r="203" spans="3:29" x14ac:dyDescent="0.3">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row>
    <row r="204" spans="3:29" x14ac:dyDescent="0.3">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row>
    <row r="205" spans="3:29" x14ac:dyDescent="0.3">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row>
    <row r="206" spans="3:29" x14ac:dyDescent="0.3">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row>
    <row r="207" spans="3:29" x14ac:dyDescent="0.3">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row>
    <row r="208" spans="3:29" x14ac:dyDescent="0.3">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row>
    <row r="209" spans="3:29" x14ac:dyDescent="0.3">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row>
    <row r="210" spans="3:29" x14ac:dyDescent="0.3">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row>
    <row r="211" spans="3:29" x14ac:dyDescent="0.3">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row>
    <row r="212" spans="3:29" x14ac:dyDescent="0.3">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row>
    <row r="213" spans="3:29" x14ac:dyDescent="0.3">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row>
    <row r="214" spans="3:29" x14ac:dyDescent="0.3">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row>
    <row r="215" spans="3:29" x14ac:dyDescent="0.3">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row>
    <row r="216" spans="3:29" x14ac:dyDescent="0.3">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row>
    <row r="217" spans="3:29" x14ac:dyDescent="0.3">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row>
    <row r="218" spans="3:29" x14ac:dyDescent="0.3">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row>
    <row r="219" spans="3:29" x14ac:dyDescent="0.3">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row>
    <row r="220" spans="3:29" x14ac:dyDescent="0.3">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row>
    <row r="221" spans="3:29" x14ac:dyDescent="0.3">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row>
    <row r="222" spans="3:29" x14ac:dyDescent="0.3">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row>
    <row r="223" spans="3:29" x14ac:dyDescent="0.3">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row>
    <row r="224" spans="3:29" x14ac:dyDescent="0.3">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row>
    <row r="225" spans="3:29" x14ac:dyDescent="0.3">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row>
    <row r="226" spans="3:29" x14ac:dyDescent="0.3">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row>
    <row r="227" spans="3:29" x14ac:dyDescent="0.3">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row>
    <row r="228" spans="3:29" x14ac:dyDescent="0.3">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row>
    <row r="229" spans="3:29" x14ac:dyDescent="0.3">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row>
    <row r="230" spans="3:29" x14ac:dyDescent="0.3">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row>
    <row r="231" spans="3:29" x14ac:dyDescent="0.3">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row>
    <row r="232" spans="3:29" x14ac:dyDescent="0.3">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row>
    <row r="233" spans="3:29" x14ac:dyDescent="0.3">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row>
    <row r="234" spans="3:29" x14ac:dyDescent="0.3">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row>
    <row r="235" spans="3:29" x14ac:dyDescent="0.3">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row>
    <row r="236" spans="3:29" x14ac:dyDescent="0.3">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row>
    <row r="237" spans="3:29" x14ac:dyDescent="0.3">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row>
    <row r="238" spans="3:29" x14ac:dyDescent="0.3">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row>
    <row r="239" spans="3:29" x14ac:dyDescent="0.3">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row>
    <row r="240" spans="3:29" x14ac:dyDescent="0.3">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row>
    <row r="241" spans="3:29" x14ac:dyDescent="0.3">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row>
    <row r="242" spans="3:29" x14ac:dyDescent="0.3">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row>
    <row r="243" spans="3:29" x14ac:dyDescent="0.3">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row>
    <row r="244" spans="3:29" x14ac:dyDescent="0.3">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row>
    <row r="245" spans="3:29" x14ac:dyDescent="0.3">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row>
    <row r="246" spans="3:29" x14ac:dyDescent="0.3">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row>
    <row r="247" spans="3:29" x14ac:dyDescent="0.3">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row>
    <row r="248" spans="3:29" x14ac:dyDescent="0.3">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row>
    <row r="249" spans="3:29" x14ac:dyDescent="0.3">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row>
    <row r="250" spans="3:29" x14ac:dyDescent="0.3">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row>
    <row r="251" spans="3:29" x14ac:dyDescent="0.3">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row>
    <row r="252" spans="3:29" x14ac:dyDescent="0.3">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row>
    <row r="253" spans="3:29" x14ac:dyDescent="0.3">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row>
    <row r="254" spans="3:29" x14ac:dyDescent="0.3">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row>
    <row r="255" spans="3:29" x14ac:dyDescent="0.3">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row>
    <row r="256" spans="3:29" x14ac:dyDescent="0.3">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row>
    <row r="257" spans="3:29" x14ac:dyDescent="0.3">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row>
    <row r="258" spans="3:29" x14ac:dyDescent="0.3">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row>
    <row r="259" spans="3:29" x14ac:dyDescent="0.3">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row>
    <row r="260" spans="3:29" x14ac:dyDescent="0.3">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row>
    <row r="261" spans="3:29" x14ac:dyDescent="0.3">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row>
    <row r="262" spans="3:29" x14ac:dyDescent="0.3">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row>
    <row r="263" spans="3:29" x14ac:dyDescent="0.3">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row>
    <row r="264" spans="3:29" x14ac:dyDescent="0.3">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row>
    <row r="265" spans="3:29" x14ac:dyDescent="0.3">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row>
    <row r="266" spans="3:29" x14ac:dyDescent="0.3">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row>
    <row r="267" spans="3:29" x14ac:dyDescent="0.3">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row>
    <row r="268" spans="3:29" x14ac:dyDescent="0.3">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row>
    <row r="269" spans="3:29" x14ac:dyDescent="0.3">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row>
    <row r="270" spans="3:29" x14ac:dyDescent="0.3">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row>
    <row r="271" spans="3:29" x14ac:dyDescent="0.3">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row>
    <row r="272" spans="3:29" x14ac:dyDescent="0.3">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row>
    <row r="273" spans="3:29" x14ac:dyDescent="0.3">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row>
    <row r="274" spans="3:29" x14ac:dyDescent="0.3">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row>
    <row r="275" spans="3:29" x14ac:dyDescent="0.3">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row>
    <row r="276" spans="3:29" x14ac:dyDescent="0.3">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row>
    <row r="277" spans="3:29" x14ac:dyDescent="0.3">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row>
    <row r="278" spans="3:29" x14ac:dyDescent="0.3">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row>
    <row r="279" spans="3:29" x14ac:dyDescent="0.3">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row>
    <row r="280" spans="3:29" x14ac:dyDescent="0.3">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row>
    <row r="281" spans="3:29" x14ac:dyDescent="0.3">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row>
    <row r="282" spans="3:29" x14ac:dyDescent="0.3">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row>
    <row r="283" spans="3:29" x14ac:dyDescent="0.3">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row>
    <row r="284" spans="3:29" x14ac:dyDescent="0.3">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row>
    <row r="285" spans="3:29" x14ac:dyDescent="0.3">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row>
    <row r="286" spans="3:29" x14ac:dyDescent="0.3">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row>
    <row r="287" spans="3:29" x14ac:dyDescent="0.3">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row>
    <row r="288" spans="3:29" x14ac:dyDescent="0.3">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row>
    <row r="289" spans="3:29" x14ac:dyDescent="0.3">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row>
    <row r="290" spans="3:29" x14ac:dyDescent="0.3">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row>
    <row r="291" spans="3:29" x14ac:dyDescent="0.3">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row>
    <row r="292" spans="3:29" x14ac:dyDescent="0.3">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row>
    <row r="293" spans="3:29" x14ac:dyDescent="0.3">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row>
    <row r="294" spans="3:29" x14ac:dyDescent="0.3">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row>
    <row r="295" spans="3:29" x14ac:dyDescent="0.3">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row>
    <row r="296" spans="3:29" x14ac:dyDescent="0.3">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row>
    <row r="297" spans="3:29" x14ac:dyDescent="0.3">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row>
    <row r="298" spans="3:29" x14ac:dyDescent="0.3">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row>
    <row r="299" spans="3:29" x14ac:dyDescent="0.3">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row>
    <row r="300" spans="3:29" x14ac:dyDescent="0.3">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row>
    <row r="301" spans="3:29" x14ac:dyDescent="0.3">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row>
    <row r="302" spans="3:29" x14ac:dyDescent="0.3">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row>
    <row r="303" spans="3:29" x14ac:dyDescent="0.3">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row>
    <row r="304" spans="3:29" x14ac:dyDescent="0.3">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row>
    <row r="305" spans="3:29" x14ac:dyDescent="0.3">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row>
    <row r="306" spans="3:29" x14ac:dyDescent="0.3">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row>
    <row r="307" spans="3:29" x14ac:dyDescent="0.3">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row>
    <row r="308" spans="3:29" x14ac:dyDescent="0.3">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row>
    <row r="309" spans="3:29" x14ac:dyDescent="0.3">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row>
    <row r="310" spans="3:29" x14ac:dyDescent="0.3">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row>
    <row r="311" spans="3:29" x14ac:dyDescent="0.3">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row>
    <row r="312" spans="3:29" x14ac:dyDescent="0.3">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row>
    <row r="313" spans="3:29" x14ac:dyDescent="0.3">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row>
    <row r="314" spans="3:29" x14ac:dyDescent="0.3">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row>
    <row r="315" spans="3:29" x14ac:dyDescent="0.3">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row>
    <row r="316" spans="3:29" x14ac:dyDescent="0.3">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row>
    <row r="317" spans="3:29" x14ac:dyDescent="0.3">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row>
    <row r="318" spans="3:29" x14ac:dyDescent="0.3">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row>
    <row r="319" spans="3:29" x14ac:dyDescent="0.3">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row>
    <row r="320" spans="3:29" x14ac:dyDescent="0.3">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row>
    <row r="321" spans="3:29" x14ac:dyDescent="0.3">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row>
    <row r="322" spans="3:29" x14ac:dyDescent="0.3">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row>
    <row r="323" spans="3:29" x14ac:dyDescent="0.3">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row>
    <row r="324" spans="3:29" x14ac:dyDescent="0.3">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row>
    <row r="325" spans="3:29" x14ac:dyDescent="0.3">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row>
    <row r="326" spans="3:29" x14ac:dyDescent="0.3">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row>
    <row r="327" spans="3:29" x14ac:dyDescent="0.3">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row>
    <row r="328" spans="3:29" x14ac:dyDescent="0.3">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row>
    <row r="329" spans="3:29" x14ac:dyDescent="0.3">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row>
    <row r="330" spans="3:29" x14ac:dyDescent="0.3">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row>
    <row r="331" spans="3:29" x14ac:dyDescent="0.3">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row>
    <row r="332" spans="3:29" x14ac:dyDescent="0.3">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row>
    <row r="333" spans="3:29" x14ac:dyDescent="0.3">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row>
    <row r="334" spans="3:29" x14ac:dyDescent="0.3">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row>
    <row r="335" spans="3:29" x14ac:dyDescent="0.3">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row>
    <row r="336" spans="3:29" x14ac:dyDescent="0.3">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row>
    <row r="337" spans="3:29" x14ac:dyDescent="0.3">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row>
    <row r="338" spans="3:29" x14ac:dyDescent="0.3">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row>
    <row r="339" spans="3:29" x14ac:dyDescent="0.3">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row>
    <row r="340" spans="3:29" x14ac:dyDescent="0.3">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row>
    <row r="341" spans="3:29" x14ac:dyDescent="0.3">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row>
    <row r="342" spans="3:29" x14ac:dyDescent="0.3">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row>
    <row r="343" spans="3:29" x14ac:dyDescent="0.3">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row>
    <row r="344" spans="3:29" x14ac:dyDescent="0.3">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row>
    <row r="345" spans="3:29" x14ac:dyDescent="0.3">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row>
    <row r="346" spans="3:29" x14ac:dyDescent="0.3">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row>
    <row r="347" spans="3:29" x14ac:dyDescent="0.3">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row>
    <row r="348" spans="3:29" x14ac:dyDescent="0.3">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row>
    <row r="349" spans="3:29" x14ac:dyDescent="0.3">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row>
    <row r="350" spans="3:29" x14ac:dyDescent="0.3">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row>
    <row r="351" spans="3:29" x14ac:dyDescent="0.3">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row>
    <row r="352" spans="3:29" x14ac:dyDescent="0.3">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row>
    <row r="353" spans="3:29" x14ac:dyDescent="0.3">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row>
    <row r="354" spans="3:29" x14ac:dyDescent="0.3">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row>
    <row r="355" spans="3:29" x14ac:dyDescent="0.3">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row>
    <row r="356" spans="3:29" x14ac:dyDescent="0.3">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row>
    <row r="357" spans="3:29" x14ac:dyDescent="0.3">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row>
    <row r="358" spans="3:29" x14ac:dyDescent="0.3">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row>
    <row r="359" spans="3:29" x14ac:dyDescent="0.3">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row>
    <row r="360" spans="3:29" x14ac:dyDescent="0.3">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row>
    <row r="361" spans="3:29" x14ac:dyDescent="0.3">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row>
    <row r="362" spans="3:29" x14ac:dyDescent="0.3">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row>
    <row r="363" spans="3:29" x14ac:dyDescent="0.3">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row>
    <row r="364" spans="3:29" x14ac:dyDescent="0.3">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row>
    <row r="365" spans="3:29" x14ac:dyDescent="0.3">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row>
    <row r="366" spans="3:29" x14ac:dyDescent="0.3">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row>
    <row r="367" spans="3:29" x14ac:dyDescent="0.3">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row>
    <row r="368" spans="3:29" x14ac:dyDescent="0.3">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row>
    <row r="369" spans="3:29" x14ac:dyDescent="0.3">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row>
    <row r="370" spans="3:29" x14ac:dyDescent="0.3">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row>
    <row r="371" spans="3:29" x14ac:dyDescent="0.3">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row>
    <row r="372" spans="3:29" x14ac:dyDescent="0.3">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row>
    <row r="373" spans="3:29" x14ac:dyDescent="0.3">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row>
    <row r="374" spans="3:29" x14ac:dyDescent="0.3">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row>
    <row r="375" spans="3:29" x14ac:dyDescent="0.3">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row>
    <row r="376" spans="3:29" x14ac:dyDescent="0.3">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row>
    <row r="377" spans="3:29" x14ac:dyDescent="0.3">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row>
    <row r="378" spans="3:29" x14ac:dyDescent="0.3">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row>
    <row r="379" spans="3:29" x14ac:dyDescent="0.3">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row>
    <row r="380" spans="3:29" x14ac:dyDescent="0.3">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row>
    <row r="381" spans="3:29" x14ac:dyDescent="0.3">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row>
    <row r="382" spans="3:29" x14ac:dyDescent="0.3">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row>
    <row r="383" spans="3:29" x14ac:dyDescent="0.3">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row>
    <row r="384" spans="3:29" x14ac:dyDescent="0.3">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row>
    <row r="385" spans="3:29" x14ac:dyDescent="0.3">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row>
    <row r="386" spans="3:29" x14ac:dyDescent="0.3">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row>
    <row r="387" spans="3:29" x14ac:dyDescent="0.3">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row>
    <row r="388" spans="3:29" x14ac:dyDescent="0.3">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row>
    <row r="389" spans="3:29" x14ac:dyDescent="0.3">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row>
    <row r="390" spans="3:29" x14ac:dyDescent="0.3">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row>
    <row r="391" spans="3:29" x14ac:dyDescent="0.3">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row>
    <row r="392" spans="3:29" x14ac:dyDescent="0.3">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row>
    <row r="393" spans="3:29" x14ac:dyDescent="0.3">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row>
    <row r="394" spans="3:29" x14ac:dyDescent="0.3">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row>
    <row r="395" spans="3:29" x14ac:dyDescent="0.3">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row>
    <row r="396" spans="3:29" x14ac:dyDescent="0.3">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row>
    <row r="397" spans="3:29" x14ac:dyDescent="0.3">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row>
    <row r="398" spans="3:29" x14ac:dyDescent="0.3">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row>
    <row r="399" spans="3:29" x14ac:dyDescent="0.3">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row>
    <row r="400" spans="3:29" x14ac:dyDescent="0.3">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row>
    <row r="401" spans="3:29" x14ac:dyDescent="0.3">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row>
    <row r="402" spans="3:29" x14ac:dyDescent="0.3">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row>
    <row r="403" spans="3:29" x14ac:dyDescent="0.3">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row>
    <row r="404" spans="3:29" x14ac:dyDescent="0.3">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row>
    <row r="405" spans="3:29" x14ac:dyDescent="0.3">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row>
    <row r="406" spans="3:29" x14ac:dyDescent="0.3">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row>
    <row r="407" spans="3:29" x14ac:dyDescent="0.3">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row>
    <row r="408" spans="3:29" x14ac:dyDescent="0.3">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row>
    <row r="409" spans="3:29" x14ac:dyDescent="0.3">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row>
    <row r="410" spans="3:29" x14ac:dyDescent="0.3">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row>
    <row r="411" spans="3:29" x14ac:dyDescent="0.3">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row>
    <row r="412" spans="3:29" x14ac:dyDescent="0.3">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row>
    <row r="413" spans="3:29" x14ac:dyDescent="0.3">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row>
    <row r="414" spans="3:29" x14ac:dyDescent="0.3">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row>
    <row r="415" spans="3:29" x14ac:dyDescent="0.3">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row>
    <row r="416" spans="3:29" x14ac:dyDescent="0.3">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row>
    <row r="417" spans="3:29" x14ac:dyDescent="0.3">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row>
    <row r="418" spans="3:29" x14ac:dyDescent="0.3">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row>
    <row r="419" spans="3:29" x14ac:dyDescent="0.3">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row>
    <row r="420" spans="3:29" x14ac:dyDescent="0.3">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row>
    <row r="421" spans="3:29" x14ac:dyDescent="0.3">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row>
    <row r="422" spans="3:29" x14ac:dyDescent="0.3">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row>
    <row r="423" spans="3:29" x14ac:dyDescent="0.3">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row>
    <row r="424" spans="3:29" x14ac:dyDescent="0.3">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row>
    <row r="425" spans="3:29" x14ac:dyDescent="0.3">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row>
    <row r="426" spans="3:29" x14ac:dyDescent="0.3">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row>
    <row r="427" spans="3:29" x14ac:dyDescent="0.3">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row>
    <row r="428" spans="3:29" x14ac:dyDescent="0.3">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row>
    <row r="429" spans="3:29" x14ac:dyDescent="0.3">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row>
    <row r="430" spans="3:29" x14ac:dyDescent="0.3">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row>
    <row r="431" spans="3:29" x14ac:dyDescent="0.3">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row>
    <row r="432" spans="3:29" x14ac:dyDescent="0.3">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row>
    <row r="433" spans="3:29" x14ac:dyDescent="0.3">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row>
    <row r="434" spans="3:29" x14ac:dyDescent="0.3">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row>
    <row r="435" spans="3:29" x14ac:dyDescent="0.3">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row>
    <row r="436" spans="3:29" x14ac:dyDescent="0.3">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row>
    <row r="437" spans="3:29" x14ac:dyDescent="0.3">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row>
    <row r="438" spans="3:29" x14ac:dyDescent="0.3">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row>
    <row r="439" spans="3:29" x14ac:dyDescent="0.3">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row>
    <row r="440" spans="3:29" x14ac:dyDescent="0.3">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row>
    <row r="441" spans="3:29" x14ac:dyDescent="0.3">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row>
    <row r="442" spans="3:29" x14ac:dyDescent="0.3">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row>
    <row r="443" spans="3:29" x14ac:dyDescent="0.3">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row>
    <row r="444" spans="3:29" x14ac:dyDescent="0.3">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row>
    <row r="445" spans="3:29" x14ac:dyDescent="0.3">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row>
    <row r="446" spans="3:29" x14ac:dyDescent="0.3">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row>
    <row r="447" spans="3:29" x14ac:dyDescent="0.3">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row>
    <row r="448" spans="3:29" x14ac:dyDescent="0.3">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row>
    <row r="449" spans="3:29" x14ac:dyDescent="0.3">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row>
    <row r="450" spans="3:29" x14ac:dyDescent="0.3">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row>
    <row r="451" spans="3:29" x14ac:dyDescent="0.3">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row>
    <row r="452" spans="3:29" x14ac:dyDescent="0.3">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row>
    <row r="453" spans="3:29" x14ac:dyDescent="0.3">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row>
    <row r="454" spans="3:29" x14ac:dyDescent="0.3">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row>
    <row r="455" spans="3:29" x14ac:dyDescent="0.3">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row>
    <row r="456" spans="3:29" x14ac:dyDescent="0.3">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row>
    <row r="457" spans="3:29" x14ac:dyDescent="0.3">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row>
    <row r="458" spans="3:29" x14ac:dyDescent="0.3">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row>
    <row r="459" spans="3:29" x14ac:dyDescent="0.3">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row>
    <row r="460" spans="3:29" x14ac:dyDescent="0.3">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row>
    <row r="461" spans="3:29" x14ac:dyDescent="0.3">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row>
    <row r="462" spans="3:29" x14ac:dyDescent="0.3">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row>
    <row r="463" spans="3:29" x14ac:dyDescent="0.3">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row>
    <row r="464" spans="3:29" x14ac:dyDescent="0.3">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row>
    <row r="465" spans="3:29" x14ac:dyDescent="0.3">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row>
    <row r="466" spans="3:29" x14ac:dyDescent="0.3">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row>
    <row r="467" spans="3:29" x14ac:dyDescent="0.3">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row>
    <row r="468" spans="3:29" x14ac:dyDescent="0.3">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row>
    <row r="469" spans="3:29" x14ac:dyDescent="0.3">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row>
    <row r="470" spans="3:29" x14ac:dyDescent="0.3">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row>
    <row r="471" spans="3:29" x14ac:dyDescent="0.3">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row>
    <row r="472" spans="3:29" x14ac:dyDescent="0.3">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row>
    <row r="473" spans="3:29" x14ac:dyDescent="0.3">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row>
    <row r="474" spans="3:29" x14ac:dyDescent="0.3">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row>
    <row r="475" spans="3:29" x14ac:dyDescent="0.3">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row>
    <row r="476" spans="3:29" x14ac:dyDescent="0.3">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row>
    <row r="477" spans="3:29" x14ac:dyDescent="0.3">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row>
    <row r="478" spans="3:29" x14ac:dyDescent="0.3">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row>
    <row r="479" spans="3:29" x14ac:dyDescent="0.3">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row>
    <row r="480" spans="3:29" x14ac:dyDescent="0.3">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row>
    <row r="481" spans="3:29" x14ac:dyDescent="0.3">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row>
    <row r="482" spans="3:29" x14ac:dyDescent="0.3">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row>
    <row r="483" spans="3:29" x14ac:dyDescent="0.3">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row>
    <row r="484" spans="3:29" x14ac:dyDescent="0.3">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row>
    <row r="485" spans="3:29" x14ac:dyDescent="0.3">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row>
    <row r="486" spans="3:29" x14ac:dyDescent="0.3">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row>
    <row r="487" spans="3:29" x14ac:dyDescent="0.3">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row>
    <row r="488" spans="3:29" x14ac:dyDescent="0.3">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row>
    <row r="489" spans="3:29" x14ac:dyDescent="0.3">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row>
    <row r="490" spans="3:29" x14ac:dyDescent="0.3">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row>
    <row r="491" spans="3:29" x14ac:dyDescent="0.3">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row>
    <row r="492" spans="3:29" x14ac:dyDescent="0.3">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row>
    <row r="493" spans="3:29" x14ac:dyDescent="0.3">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row>
    <row r="494" spans="3:29" x14ac:dyDescent="0.3">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row>
    <row r="495" spans="3:29" x14ac:dyDescent="0.3">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row>
    <row r="496" spans="3:29" x14ac:dyDescent="0.3">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row>
    <row r="497" spans="3:29" x14ac:dyDescent="0.3">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row>
    <row r="498" spans="3:29" x14ac:dyDescent="0.3">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row>
    <row r="499" spans="3:29" x14ac:dyDescent="0.3">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row>
    <row r="500" spans="3:29" x14ac:dyDescent="0.3">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row>
    <row r="501" spans="3:29" x14ac:dyDescent="0.3">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row>
    <row r="502" spans="3:29" x14ac:dyDescent="0.3">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row>
    <row r="503" spans="3:29" x14ac:dyDescent="0.3">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row>
    <row r="504" spans="3:29" x14ac:dyDescent="0.3">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row>
    <row r="505" spans="3:29" x14ac:dyDescent="0.3">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row>
    <row r="506" spans="3:29" x14ac:dyDescent="0.3">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row>
    <row r="507" spans="3:29" x14ac:dyDescent="0.3">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row>
    <row r="508" spans="3:29" x14ac:dyDescent="0.3">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row>
    <row r="509" spans="3:29" x14ac:dyDescent="0.3">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row>
    <row r="510" spans="3:29" x14ac:dyDescent="0.3">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row>
    <row r="511" spans="3:29" x14ac:dyDescent="0.3">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row>
    <row r="512" spans="3:29" x14ac:dyDescent="0.3">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row>
    <row r="513" spans="3:29" x14ac:dyDescent="0.3">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row>
    <row r="514" spans="3:29" x14ac:dyDescent="0.3">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row>
    <row r="515" spans="3:29" x14ac:dyDescent="0.3">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row>
    <row r="516" spans="3:29" x14ac:dyDescent="0.3">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row>
    <row r="517" spans="3:29" x14ac:dyDescent="0.3">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row>
    <row r="518" spans="3:29" x14ac:dyDescent="0.3">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row>
    <row r="519" spans="3:29" x14ac:dyDescent="0.3">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row>
    <row r="520" spans="3:29" x14ac:dyDescent="0.3">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row>
    <row r="521" spans="3:29" x14ac:dyDescent="0.3">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row>
    <row r="522" spans="3:29" x14ac:dyDescent="0.3">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row>
    <row r="523" spans="3:29" x14ac:dyDescent="0.3">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row>
    <row r="524" spans="3:29" x14ac:dyDescent="0.3">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row>
    <row r="525" spans="3:29" x14ac:dyDescent="0.3">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row>
    <row r="526" spans="3:29" x14ac:dyDescent="0.3">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row>
    <row r="527" spans="3:29" x14ac:dyDescent="0.3">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row>
    <row r="528" spans="3:29" x14ac:dyDescent="0.3">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row>
    <row r="529" spans="3:29" x14ac:dyDescent="0.3">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row>
    <row r="530" spans="3:29" x14ac:dyDescent="0.3">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row>
    <row r="531" spans="3:29" x14ac:dyDescent="0.3">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row>
    <row r="532" spans="3:29" x14ac:dyDescent="0.3">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row>
    <row r="533" spans="3:29" x14ac:dyDescent="0.3">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row>
    <row r="534" spans="3:29" x14ac:dyDescent="0.3">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row>
    <row r="535" spans="3:29" x14ac:dyDescent="0.3">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row>
    <row r="536" spans="3:29" x14ac:dyDescent="0.3">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row>
    <row r="537" spans="3:29" x14ac:dyDescent="0.3">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row>
    <row r="538" spans="3:29" x14ac:dyDescent="0.3">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row>
    <row r="539" spans="3:29" x14ac:dyDescent="0.3">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row>
    <row r="540" spans="3:29" x14ac:dyDescent="0.3">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row>
    <row r="541" spans="3:29" x14ac:dyDescent="0.3">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row>
    <row r="542" spans="3:29" x14ac:dyDescent="0.3">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row>
    <row r="543" spans="3:29" x14ac:dyDescent="0.3">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row>
    <row r="544" spans="3:29" x14ac:dyDescent="0.3">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row>
    <row r="545" spans="3:29" x14ac:dyDescent="0.3">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row>
    <row r="546" spans="3:29" x14ac:dyDescent="0.3">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row>
    <row r="547" spans="3:29" x14ac:dyDescent="0.3">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row>
    <row r="548" spans="3:29" x14ac:dyDescent="0.3">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row>
    <row r="549" spans="3:29" x14ac:dyDescent="0.3">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row>
    <row r="550" spans="3:29" x14ac:dyDescent="0.3">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row>
    <row r="551" spans="3:29" x14ac:dyDescent="0.3">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row>
    <row r="552" spans="3:29" x14ac:dyDescent="0.3">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row>
    <row r="553" spans="3:29" x14ac:dyDescent="0.3">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row>
    <row r="554" spans="3:29" x14ac:dyDescent="0.3">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row>
    <row r="555" spans="3:29" x14ac:dyDescent="0.3">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row>
    <row r="556" spans="3:29" x14ac:dyDescent="0.3">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row>
    <row r="557" spans="3:29" x14ac:dyDescent="0.3">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row>
    <row r="558" spans="3:29" x14ac:dyDescent="0.3">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row>
    <row r="559" spans="3:29" x14ac:dyDescent="0.3">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row>
    <row r="560" spans="3:29" x14ac:dyDescent="0.3">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row>
    <row r="561" spans="3:29" x14ac:dyDescent="0.3">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row>
    <row r="562" spans="3:29" x14ac:dyDescent="0.3">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row>
    <row r="563" spans="3:29" x14ac:dyDescent="0.3">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row>
    <row r="564" spans="3:29" x14ac:dyDescent="0.3">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row>
    <row r="565" spans="3:29" x14ac:dyDescent="0.3">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row>
    <row r="566" spans="3:29" x14ac:dyDescent="0.3">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row>
    <row r="567" spans="3:29" x14ac:dyDescent="0.3">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row>
    <row r="568" spans="3:29" x14ac:dyDescent="0.3">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row>
    <row r="569" spans="3:29" x14ac:dyDescent="0.3">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row>
    <row r="570" spans="3:29" x14ac:dyDescent="0.3">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row>
    <row r="571" spans="3:29" x14ac:dyDescent="0.3">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row>
    <row r="572" spans="3:29" x14ac:dyDescent="0.3">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row>
    <row r="573" spans="3:29" x14ac:dyDescent="0.3">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row>
    <row r="574" spans="3:29" x14ac:dyDescent="0.3">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row>
    <row r="575" spans="3:29" x14ac:dyDescent="0.3">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row>
    <row r="576" spans="3:29" x14ac:dyDescent="0.3">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row>
    <row r="577" spans="3:29" x14ac:dyDescent="0.3">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row>
    <row r="578" spans="3:29" x14ac:dyDescent="0.3">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row>
    <row r="579" spans="3:29" x14ac:dyDescent="0.3">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row>
    <row r="580" spans="3:29" x14ac:dyDescent="0.3">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row>
    <row r="581" spans="3:29" x14ac:dyDescent="0.3">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row>
    <row r="582" spans="3:29" x14ac:dyDescent="0.3">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row>
    <row r="583" spans="3:29" x14ac:dyDescent="0.3">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row>
    <row r="584" spans="3:29" x14ac:dyDescent="0.3">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row>
    <row r="585" spans="3:29" x14ac:dyDescent="0.3">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row>
    <row r="586" spans="3:29" x14ac:dyDescent="0.3">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row>
    <row r="587" spans="3:29" x14ac:dyDescent="0.3">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row>
    <row r="588" spans="3:29" x14ac:dyDescent="0.3">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row>
    <row r="589" spans="3:29" x14ac:dyDescent="0.3">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row>
    <row r="590" spans="3:29" x14ac:dyDescent="0.3">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row>
    <row r="591" spans="3:29" x14ac:dyDescent="0.3">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row>
    <row r="592" spans="3:29" x14ac:dyDescent="0.3">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row>
    <row r="593" spans="3:29" x14ac:dyDescent="0.3">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row>
    <row r="594" spans="3:29" x14ac:dyDescent="0.3">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row>
    <row r="595" spans="3:29" x14ac:dyDescent="0.3">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row>
    <row r="596" spans="3:29" x14ac:dyDescent="0.3">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row>
    <row r="597" spans="3:29" x14ac:dyDescent="0.3">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row>
    <row r="598" spans="3:29" x14ac:dyDescent="0.3">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row>
    <row r="599" spans="3:29" x14ac:dyDescent="0.3">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row>
    <row r="600" spans="3:29" x14ac:dyDescent="0.3">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row>
    <row r="601" spans="3:29" x14ac:dyDescent="0.3">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row>
    <row r="602" spans="3:29" x14ac:dyDescent="0.3">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row>
    <row r="603" spans="3:29" x14ac:dyDescent="0.3">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row>
    <row r="604" spans="3:29" x14ac:dyDescent="0.3">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row>
    <row r="605" spans="3:29" x14ac:dyDescent="0.3">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row>
    <row r="606" spans="3:29" x14ac:dyDescent="0.3">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row>
    <row r="607" spans="3:29" x14ac:dyDescent="0.3">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row>
    <row r="608" spans="3:29" x14ac:dyDescent="0.3">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row>
    <row r="609" spans="3:29" x14ac:dyDescent="0.3">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row>
    <row r="610" spans="3:29" x14ac:dyDescent="0.3">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row>
    <row r="611" spans="3:29" x14ac:dyDescent="0.3">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row>
    <row r="612" spans="3:29" x14ac:dyDescent="0.3">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row>
    <row r="613" spans="3:29" x14ac:dyDescent="0.3">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row>
    <row r="614" spans="3:29" x14ac:dyDescent="0.3">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row>
    <row r="615" spans="3:29" x14ac:dyDescent="0.3">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row>
    <row r="616" spans="3:29" x14ac:dyDescent="0.3">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row>
    <row r="617" spans="3:29" x14ac:dyDescent="0.3">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row>
    <row r="618" spans="3:29" x14ac:dyDescent="0.3">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row>
    <row r="619" spans="3:29" x14ac:dyDescent="0.3">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row>
    <row r="620" spans="3:29" x14ac:dyDescent="0.3">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row>
    <row r="621" spans="3:29" x14ac:dyDescent="0.3">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row>
    <row r="622" spans="3:29" x14ac:dyDescent="0.3">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row>
    <row r="623" spans="3:29" x14ac:dyDescent="0.3">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row>
    <row r="624" spans="3:29" x14ac:dyDescent="0.3">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row>
    <row r="625" spans="3:29" x14ac:dyDescent="0.3">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row>
    <row r="626" spans="3:29" x14ac:dyDescent="0.3">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row>
    <row r="627" spans="3:29" x14ac:dyDescent="0.3">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row>
    <row r="628" spans="3:29" x14ac:dyDescent="0.3">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row>
    <row r="629" spans="3:29" x14ac:dyDescent="0.3">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row>
    <row r="630" spans="3:29" x14ac:dyDescent="0.3">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row>
    <row r="631" spans="3:29" x14ac:dyDescent="0.3">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row>
    <row r="632" spans="3:29" x14ac:dyDescent="0.3">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row>
    <row r="633" spans="3:29" x14ac:dyDescent="0.3">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row>
    <row r="634" spans="3:29" x14ac:dyDescent="0.3">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row>
    <row r="635" spans="3:29" x14ac:dyDescent="0.3">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row>
    <row r="636" spans="3:29" x14ac:dyDescent="0.3">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row>
    <row r="637" spans="3:29" x14ac:dyDescent="0.3">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row>
    <row r="638" spans="3:29" x14ac:dyDescent="0.3">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row>
    <row r="639" spans="3:29" x14ac:dyDescent="0.3">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row>
    <row r="640" spans="3:29" x14ac:dyDescent="0.3">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row>
    <row r="641" spans="3:29" x14ac:dyDescent="0.3">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row>
    <row r="642" spans="3:29" x14ac:dyDescent="0.3">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row>
    <row r="643" spans="3:29" x14ac:dyDescent="0.3">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row>
    <row r="644" spans="3:29" x14ac:dyDescent="0.3">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row>
    <row r="645" spans="3:29" x14ac:dyDescent="0.3">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row>
    <row r="646" spans="3:29" x14ac:dyDescent="0.3">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row>
    <row r="647" spans="3:29" x14ac:dyDescent="0.3">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row>
    <row r="648" spans="3:29" x14ac:dyDescent="0.3">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row>
    <row r="649" spans="3:29" x14ac:dyDescent="0.3">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row>
    <row r="650" spans="3:29" x14ac:dyDescent="0.3">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row>
    <row r="651" spans="3:29" x14ac:dyDescent="0.3">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row>
    <row r="652" spans="3:29" x14ac:dyDescent="0.3">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row>
    <row r="653" spans="3:29" x14ac:dyDescent="0.3">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row>
    <row r="654" spans="3:29" x14ac:dyDescent="0.3">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row>
    <row r="655" spans="3:29" x14ac:dyDescent="0.3">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row>
    <row r="656" spans="3:29" x14ac:dyDescent="0.3">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row>
    <row r="657" spans="3:29" x14ac:dyDescent="0.3">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row>
    <row r="658" spans="3:29" x14ac:dyDescent="0.3">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row>
    <row r="659" spans="3:29" x14ac:dyDescent="0.3">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row>
    <row r="660" spans="3:29" x14ac:dyDescent="0.3">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row>
    <row r="661" spans="3:29" x14ac:dyDescent="0.3">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row>
    <row r="662" spans="3:29" x14ac:dyDescent="0.3">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row>
    <row r="663" spans="3:29" x14ac:dyDescent="0.3">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row>
    <row r="664" spans="3:29" x14ac:dyDescent="0.3">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row>
    <row r="665" spans="3:29" x14ac:dyDescent="0.3">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row>
    <row r="666" spans="3:29" x14ac:dyDescent="0.3">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row>
    <row r="667" spans="3:29" x14ac:dyDescent="0.3">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row>
    <row r="668" spans="3:29" x14ac:dyDescent="0.3">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row>
    <row r="669" spans="3:29" x14ac:dyDescent="0.3">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row>
    <row r="670" spans="3:29" x14ac:dyDescent="0.3">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row>
    <row r="671" spans="3:29" x14ac:dyDescent="0.3">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row>
    <row r="672" spans="3:29" x14ac:dyDescent="0.3">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row>
    <row r="673" spans="3:29" x14ac:dyDescent="0.3">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row>
    <row r="674" spans="3:29" x14ac:dyDescent="0.3">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row>
    <row r="675" spans="3:29" x14ac:dyDescent="0.3">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row>
    <row r="676" spans="3:29" x14ac:dyDescent="0.3">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row>
    <row r="677" spans="3:29" x14ac:dyDescent="0.3">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row>
    <row r="678" spans="3:29" x14ac:dyDescent="0.3">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row>
    <row r="679" spans="3:29" x14ac:dyDescent="0.3">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row>
    <row r="680" spans="3:29" x14ac:dyDescent="0.3">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row>
    <row r="681" spans="3:29" x14ac:dyDescent="0.3">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row>
    <row r="682" spans="3:29" x14ac:dyDescent="0.3">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row>
    <row r="683" spans="3:29" x14ac:dyDescent="0.3">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row>
    <row r="684" spans="3:29" x14ac:dyDescent="0.3">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row>
    <row r="685" spans="3:29" x14ac:dyDescent="0.3">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row>
    <row r="686" spans="3:29" x14ac:dyDescent="0.3">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row>
    <row r="687" spans="3:29" x14ac:dyDescent="0.3">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row>
    <row r="688" spans="3:29" x14ac:dyDescent="0.3">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row>
    <row r="689" spans="3:29" x14ac:dyDescent="0.3">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row>
    <row r="690" spans="3:29" x14ac:dyDescent="0.3">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row>
    <row r="691" spans="3:29" x14ac:dyDescent="0.3">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row>
    <row r="692" spans="3:29" x14ac:dyDescent="0.3">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row>
    <row r="693" spans="3:29" x14ac:dyDescent="0.3">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row>
    <row r="694" spans="3:29" x14ac:dyDescent="0.3">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row>
    <row r="695" spans="3:29" x14ac:dyDescent="0.3">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row>
    <row r="696" spans="3:29" x14ac:dyDescent="0.3">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row>
    <row r="697" spans="3:29" x14ac:dyDescent="0.3">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row>
    <row r="698" spans="3:29" x14ac:dyDescent="0.3">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row>
    <row r="699" spans="3:29" x14ac:dyDescent="0.3">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row>
    <row r="700" spans="3:29" x14ac:dyDescent="0.3">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row>
    <row r="701" spans="3:29" x14ac:dyDescent="0.3">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row>
    <row r="702" spans="3:29" x14ac:dyDescent="0.3">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row>
    <row r="703" spans="3:29" x14ac:dyDescent="0.3">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row>
    <row r="704" spans="3:29" x14ac:dyDescent="0.3">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row>
    <row r="705" spans="3:29" x14ac:dyDescent="0.3">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row>
    <row r="706" spans="3:29" x14ac:dyDescent="0.3">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row>
    <row r="707" spans="3:29" x14ac:dyDescent="0.3">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row>
    <row r="708" spans="3:29" x14ac:dyDescent="0.3">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row>
    <row r="709" spans="3:29" x14ac:dyDescent="0.3">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row>
    <row r="710" spans="3:29" x14ac:dyDescent="0.3">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row>
    <row r="711" spans="3:29" x14ac:dyDescent="0.3">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row>
    <row r="712" spans="3:29" x14ac:dyDescent="0.3">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row>
    <row r="713" spans="3:29" x14ac:dyDescent="0.3">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row>
    <row r="714" spans="3:29" x14ac:dyDescent="0.3">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row>
    <row r="715" spans="3:29" x14ac:dyDescent="0.3">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row>
    <row r="716" spans="3:29" x14ac:dyDescent="0.3">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row>
    <row r="717" spans="3:29" x14ac:dyDescent="0.3">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row>
    <row r="718" spans="3:29" x14ac:dyDescent="0.3">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row>
    <row r="719" spans="3:29" x14ac:dyDescent="0.3">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row>
    <row r="720" spans="3:29" x14ac:dyDescent="0.3">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row>
    <row r="721" spans="3:29" x14ac:dyDescent="0.3">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row>
    <row r="722" spans="3:29" x14ac:dyDescent="0.3">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row>
    <row r="723" spans="3:29" x14ac:dyDescent="0.3">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row>
    <row r="724" spans="3:29" x14ac:dyDescent="0.3">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row>
    <row r="725" spans="3:29" x14ac:dyDescent="0.3">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row>
    <row r="726" spans="3:29" x14ac:dyDescent="0.3">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row>
    <row r="727" spans="3:29" x14ac:dyDescent="0.3">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row>
    <row r="728" spans="3:29" x14ac:dyDescent="0.3">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row>
    <row r="729" spans="3:29" x14ac:dyDescent="0.3">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row>
    <row r="730" spans="3:29" x14ac:dyDescent="0.3">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row>
    <row r="731" spans="3:29" x14ac:dyDescent="0.3">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row>
    <row r="732" spans="3:29" x14ac:dyDescent="0.3">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row>
    <row r="733" spans="3:29" x14ac:dyDescent="0.3">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row>
    <row r="734" spans="3:29" x14ac:dyDescent="0.3">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row>
    <row r="735" spans="3:29" x14ac:dyDescent="0.3">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row>
    <row r="736" spans="3:29" x14ac:dyDescent="0.3">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row>
    <row r="737" spans="3:29" x14ac:dyDescent="0.3">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row>
    <row r="738" spans="3:29" x14ac:dyDescent="0.3">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row>
    <row r="739" spans="3:29" x14ac:dyDescent="0.3">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row>
    <row r="740" spans="3:29" x14ac:dyDescent="0.3">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row>
    <row r="741" spans="3:29" x14ac:dyDescent="0.3">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row>
    <row r="742" spans="3:29" x14ac:dyDescent="0.3">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row>
    <row r="743" spans="3:29" x14ac:dyDescent="0.3">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row>
    <row r="744" spans="3:29" x14ac:dyDescent="0.3">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row>
    <row r="745" spans="3:29" x14ac:dyDescent="0.3">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row>
    <row r="746" spans="3:29" x14ac:dyDescent="0.3">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row>
    <row r="747" spans="3:29" x14ac:dyDescent="0.3">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row>
    <row r="748" spans="3:29" x14ac:dyDescent="0.3">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row>
    <row r="749" spans="3:29" x14ac:dyDescent="0.3">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row>
    <row r="750" spans="3:29" x14ac:dyDescent="0.3">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row>
    <row r="751" spans="3:29" x14ac:dyDescent="0.3">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row>
    <row r="752" spans="3:29" x14ac:dyDescent="0.3">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row>
    <row r="753" spans="3:29" x14ac:dyDescent="0.3">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row>
    <row r="754" spans="3:29" x14ac:dyDescent="0.3">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row>
    <row r="755" spans="3:29" x14ac:dyDescent="0.3">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row>
    <row r="756" spans="3:29" x14ac:dyDescent="0.3">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row>
    <row r="757" spans="3:29" x14ac:dyDescent="0.3">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row>
    <row r="758" spans="3:29" x14ac:dyDescent="0.3">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row>
    <row r="759" spans="3:29" x14ac:dyDescent="0.3">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row>
    <row r="760" spans="3:29" x14ac:dyDescent="0.3">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row>
    <row r="761" spans="3:29" x14ac:dyDescent="0.3">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row>
    <row r="762" spans="3:29" x14ac:dyDescent="0.3">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row>
    <row r="763" spans="3:29" x14ac:dyDescent="0.3">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row>
    <row r="764" spans="3:29" x14ac:dyDescent="0.3">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row>
    <row r="765" spans="3:29" x14ac:dyDescent="0.3">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row>
    <row r="766" spans="3:29" x14ac:dyDescent="0.3">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row>
    <row r="767" spans="3:29" x14ac:dyDescent="0.3">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row>
    <row r="768" spans="3:29" x14ac:dyDescent="0.3">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row>
    <row r="769" spans="3:29" x14ac:dyDescent="0.3">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row>
    <row r="770" spans="3:29" x14ac:dyDescent="0.3">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row>
    <row r="771" spans="3:29" x14ac:dyDescent="0.3">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row>
    <row r="772" spans="3:29" x14ac:dyDescent="0.3">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row>
    <row r="773" spans="3:29" x14ac:dyDescent="0.3">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row>
    <row r="774" spans="3:29" x14ac:dyDescent="0.3">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row>
    <row r="775" spans="3:29" x14ac:dyDescent="0.3">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row>
    <row r="776" spans="3:29" x14ac:dyDescent="0.3">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row>
    <row r="777" spans="3:29" x14ac:dyDescent="0.3">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row>
    <row r="778" spans="3:29" x14ac:dyDescent="0.3">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row>
    <row r="779" spans="3:29" x14ac:dyDescent="0.3">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row>
    <row r="780" spans="3:29" x14ac:dyDescent="0.3">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row>
    <row r="781" spans="3:29" x14ac:dyDescent="0.3">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row>
    <row r="782" spans="3:29" x14ac:dyDescent="0.3">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row>
    <row r="783" spans="3:29" x14ac:dyDescent="0.3">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row>
    <row r="784" spans="3:29" x14ac:dyDescent="0.3">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row>
    <row r="785" spans="3:29" x14ac:dyDescent="0.3">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row>
    <row r="786" spans="3:29" x14ac:dyDescent="0.3">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row>
    <row r="787" spans="3:29" x14ac:dyDescent="0.3">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row>
    <row r="788" spans="3:29" x14ac:dyDescent="0.3">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row>
    <row r="789" spans="3:29" x14ac:dyDescent="0.3">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row>
    <row r="790" spans="3:29" x14ac:dyDescent="0.3">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row>
    <row r="791" spans="3:29" x14ac:dyDescent="0.3">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row>
    <row r="792" spans="3:29" x14ac:dyDescent="0.3">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row>
    <row r="793" spans="3:29" x14ac:dyDescent="0.3">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row>
    <row r="794" spans="3:29" x14ac:dyDescent="0.3">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row>
    <row r="795" spans="3:29" x14ac:dyDescent="0.3">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row>
    <row r="796" spans="3:29" x14ac:dyDescent="0.3">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row>
    <row r="797" spans="3:29" x14ac:dyDescent="0.3">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row>
    <row r="798" spans="3:29" x14ac:dyDescent="0.3">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row>
    <row r="799" spans="3:29" x14ac:dyDescent="0.3">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row>
    <row r="800" spans="3:29" x14ac:dyDescent="0.3">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row>
    <row r="801" spans="3:29" x14ac:dyDescent="0.3">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row>
    <row r="802" spans="3:29" x14ac:dyDescent="0.3">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row>
    <row r="803" spans="3:29" x14ac:dyDescent="0.3">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row>
    <row r="804" spans="3:29" x14ac:dyDescent="0.3">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row>
    <row r="805" spans="3:29" x14ac:dyDescent="0.3">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row>
    <row r="806" spans="3:29" x14ac:dyDescent="0.3">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row>
    <row r="807" spans="3:29" x14ac:dyDescent="0.3">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row>
    <row r="808" spans="3:29" x14ac:dyDescent="0.3">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row>
    <row r="809" spans="3:29" x14ac:dyDescent="0.3">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row>
    <row r="810" spans="3:29" x14ac:dyDescent="0.3">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row>
    <row r="811" spans="3:29" x14ac:dyDescent="0.3">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row>
    <row r="812" spans="3:29" x14ac:dyDescent="0.3">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row>
    <row r="813" spans="3:29" x14ac:dyDescent="0.3">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row>
    <row r="814" spans="3:29" x14ac:dyDescent="0.3">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row>
    <row r="815" spans="3:29" x14ac:dyDescent="0.3">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row>
    <row r="816" spans="3:29" x14ac:dyDescent="0.3">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row>
    <row r="817" spans="3:29" x14ac:dyDescent="0.3">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row>
    <row r="818" spans="3:29" x14ac:dyDescent="0.3">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row>
    <row r="819" spans="3:29" x14ac:dyDescent="0.3">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row>
    <row r="820" spans="3:29" x14ac:dyDescent="0.3">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row>
    <row r="821" spans="3:29" x14ac:dyDescent="0.3">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row>
    <row r="822" spans="3:29" x14ac:dyDescent="0.3">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row>
    <row r="823" spans="3:29" x14ac:dyDescent="0.3">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row>
    <row r="824" spans="3:29" x14ac:dyDescent="0.3">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row>
    <row r="825" spans="3:29" x14ac:dyDescent="0.3">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row>
    <row r="826" spans="3:29" x14ac:dyDescent="0.3">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row>
    <row r="827" spans="3:29" x14ac:dyDescent="0.3">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row>
    <row r="828" spans="3:29" x14ac:dyDescent="0.3">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row>
    <row r="829" spans="3:29" x14ac:dyDescent="0.3">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row>
    <row r="830" spans="3:29" x14ac:dyDescent="0.3">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row>
    <row r="831" spans="3:29" x14ac:dyDescent="0.3">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row>
    <row r="832" spans="3:29" x14ac:dyDescent="0.3">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row>
    <row r="833" spans="3:29" x14ac:dyDescent="0.3">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row>
    <row r="834" spans="3:29" x14ac:dyDescent="0.3">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row>
    <row r="835" spans="3:29" x14ac:dyDescent="0.3">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row>
    <row r="836" spans="3:29" x14ac:dyDescent="0.3">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row>
    <row r="837" spans="3:29" x14ac:dyDescent="0.3">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row>
    <row r="838" spans="3:29" x14ac:dyDescent="0.3">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row>
    <row r="839" spans="3:29" x14ac:dyDescent="0.3">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row>
    <row r="840" spans="3:29" x14ac:dyDescent="0.3">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row>
    <row r="841" spans="3:29" x14ac:dyDescent="0.3">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row>
    <row r="842" spans="3:29" x14ac:dyDescent="0.3">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row>
    <row r="843" spans="3:29" x14ac:dyDescent="0.3">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row>
    <row r="844" spans="3:29" x14ac:dyDescent="0.3">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row>
    <row r="845" spans="3:29" x14ac:dyDescent="0.3">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row>
    <row r="846" spans="3:29" x14ac:dyDescent="0.3">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row>
    <row r="847" spans="3:29" x14ac:dyDescent="0.3">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row>
    <row r="848" spans="3:29" x14ac:dyDescent="0.3">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row>
    <row r="849" spans="3:29" x14ac:dyDescent="0.3">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row>
    <row r="850" spans="3:29" x14ac:dyDescent="0.3">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row>
    <row r="851" spans="3:29" x14ac:dyDescent="0.3">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row>
    <row r="852" spans="3:29" x14ac:dyDescent="0.3">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row>
    <row r="853" spans="3:29" x14ac:dyDescent="0.3">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row>
    <row r="854" spans="3:29" x14ac:dyDescent="0.3">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row>
    <row r="855" spans="3:29" x14ac:dyDescent="0.3">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row>
    <row r="856" spans="3:29" x14ac:dyDescent="0.3">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row>
    <row r="857" spans="3:29" x14ac:dyDescent="0.3">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row>
    <row r="858" spans="3:29" x14ac:dyDescent="0.3">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row>
    <row r="859" spans="3:29" x14ac:dyDescent="0.3">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row>
    <row r="860" spans="3:29" x14ac:dyDescent="0.3">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row>
    <row r="861" spans="3:29" x14ac:dyDescent="0.3">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row>
    <row r="862" spans="3:29" x14ac:dyDescent="0.3">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row>
    <row r="863" spans="3:29" x14ac:dyDescent="0.3">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row>
    <row r="864" spans="3:29" x14ac:dyDescent="0.3">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row>
    <row r="865" spans="3:29" x14ac:dyDescent="0.3">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row>
    <row r="866" spans="3:29" x14ac:dyDescent="0.3">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row>
    <row r="867" spans="3:29" x14ac:dyDescent="0.3">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row>
    <row r="868" spans="3:29" x14ac:dyDescent="0.3">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row>
    <row r="869" spans="3:29" x14ac:dyDescent="0.3">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row>
    <row r="870" spans="3:29" x14ac:dyDescent="0.3">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row>
    <row r="871" spans="3:29" x14ac:dyDescent="0.3">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row>
    <row r="872" spans="3:29" x14ac:dyDescent="0.3">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row>
    <row r="873" spans="3:29" x14ac:dyDescent="0.3">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row>
    <row r="874" spans="3:29" x14ac:dyDescent="0.3">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row>
    <row r="875" spans="3:29" x14ac:dyDescent="0.3">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row>
    <row r="876" spans="3:29" x14ac:dyDescent="0.3">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row>
    <row r="877" spans="3:29" x14ac:dyDescent="0.3">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row>
    <row r="878" spans="3:29" x14ac:dyDescent="0.3">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row>
    <row r="879" spans="3:29" x14ac:dyDescent="0.3">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row>
    <row r="880" spans="3:29" x14ac:dyDescent="0.3">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row>
    <row r="881" spans="3:29" x14ac:dyDescent="0.3">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row>
    <row r="882" spans="3:29" x14ac:dyDescent="0.3">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row>
    <row r="883" spans="3:29" x14ac:dyDescent="0.3">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row>
    <row r="884" spans="3:29" x14ac:dyDescent="0.3">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row>
    <row r="885" spans="3:29" x14ac:dyDescent="0.3">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row>
    <row r="886" spans="3:29" x14ac:dyDescent="0.3">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row>
    <row r="887" spans="3:29" x14ac:dyDescent="0.3">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row>
    <row r="888" spans="3:29" x14ac:dyDescent="0.3">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row>
    <row r="889" spans="3:29" x14ac:dyDescent="0.3">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row>
    <row r="890" spans="3:29" x14ac:dyDescent="0.3">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row>
    <row r="891" spans="3:29" x14ac:dyDescent="0.3">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row>
    <row r="892" spans="3:29" x14ac:dyDescent="0.3">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row>
    <row r="893" spans="3:29" x14ac:dyDescent="0.3">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row>
    <row r="894" spans="3:29" x14ac:dyDescent="0.3">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row>
    <row r="895" spans="3:29" x14ac:dyDescent="0.3">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row>
    <row r="896" spans="3:29" x14ac:dyDescent="0.3">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row>
    <row r="897" spans="3:29" x14ac:dyDescent="0.3">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row>
    <row r="898" spans="3:29" x14ac:dyDescent="0.3">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row>
    <row r="899" spans="3:29" x14ac:dyDescent="0.3">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row>
    <row r="900" spans="3:29" x14ac:dyDescent="0.3">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row>
    <row r="901" spans="3:29" x14ac:dyDescent="0.3">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row>
    <row r="902" spans="3:29" x14ac:dyDescent="0.3">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row>
    <row r="903" spans="3:29" x14ac:dyDescent="0.3">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row>
    <row r="904" spans="3:29" x14ac:dyDescent="0.3">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row>
    <row r="905" spans="3:29" x14ac:dyDescent="0.3">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row>
    <row r="906" spans="3:29" x14ac:dyDescent="0.3">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row>
    <row r="907" spans="3:29" x14ac:dyDescent="0.3">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row>
    <row r="908" spans="3:29" x14ac:dyDescent="0.3">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row>
    <row r="909" spans="3:29" x14ac:dyDescent="0.3">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row>
    <row r="910" spans="3:29" x14ac:dyDescent="0.3">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row>
    <row r="911" spans="3:29" x14ac:dyDescent="0.3">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row>
    <row r="912" spans="3:29" x14ac:dyDescent="0.3">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row>
    <row r="913" spans="3:29" x14ac:dyDescent="0.3">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row>
    <row r="914" spans="3:29" x14ac:dyDescent="0.3">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row>
    <row r="915" spans="3:29" x14ac:dyDescent="0.3">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row>
    <row r="916" spans="3:29" x14ac:dyDescent="0.3">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row>
    <row r="917" spans="3:29" x14ac:dyDescent="0.3">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row>
    <row r="918" spans="3:29" x14ac:dyDescent="0.3">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row>
    <row r="919" spans="3:29" x14ac:dyDescent="0.3">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row>
    <row r="920" spans="3:29" x14ac:dyDescent="0.3">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row>
    <row r="921" spans="3:29" x14ac:dyDescent="0.3">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row>
    <row r="922" spans="3:29" x14ac:dyDescent="0.3">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row>
    <row r="923" spans="3:29" x14ac:dyDescent="0.3">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row>
    <row r="924" spans="3:29" x14ac:dyDescent="0.3">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row>
    <row r="925" spans="3:29" x14ac:dyDescent="0.3">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row>
    <row r="926" spans="3:29" x14ac:dyDescent="0.3">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row>
    <row r="927" spans="3:29" x14ac:dyDescent="0.3">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row>
    <row r="928" spans="3:29" x14ac:dyDescent="0.3">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row>
    <row r="929" spans="3:29" x14ac:dyDescent="0.3">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row>
    <row r="930" spans="3:29" x14ac:dyDescent="0.3">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row>
    <row r="931" spans="3:29" x14ac:dyDescent="0.3">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row>
    <row r="932" spans="3:29" x14ac:dyDescent="0.3">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row>
    <row r="933" spans="3:29" x14ac:dyDescent="0.3">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row>
    <row r="934" spans="3:29" x14ac:dyDescent="0.3">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row>
    <row r="935" spans="3:29" x14ac:dyDescent="0.3">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row>
    <row r="936" spans="3:29" x14ac:dyDescent="0.3">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row>
    <row r="937" spans="3:29" x14ac:dyDescent="0.3">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row>
    <row r="938" spans="3:29" x14ac:dyDescent="0.3">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row>
    <row r="939" spans="3:29" x14ac:dyDescent="0.3">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row>
    <row r="940" spans="3:29" x14ac:dyDescent="0.3">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row>
    <row r="941" spans="3:29" x14ac:dyDescent="0.3">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row>
    <row r="942" spans="3:29" x14ac:dyDescent="0.3">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row>
    <row r="943" spans="3:29" x14ac:dyDescent="0.3">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row>
    <row r="944" spans="3:29" x14ac:dyDescent="0.3">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row>
    <row r="945" spans="3:29" x14ac:dyDescent="0.3">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row>
    <row r="946" spans="3:29" x14ac:dyDescent="0.3">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row>
    <row r="947" spans="3:29" x14ac:dyDescent="0.3">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row>
    <row r="948" spans="3:29" x14ac:dyDescent="0.3">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row>
    <row r="949" spans="3:29" x14ac:dyDescent="0.3">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row>
    <row r="950" spans="3:29" x14ac:dyDescent="0.3">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row>
    <row r="951" spans="3:29" x14ac:dyDescent="0.3">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row>
    <row r="952" spans="3:29" x14ac:dyDescent="0.3">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row>
    <row r="953" spans="3:29" x14ac:dyDescent="0.3">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row>
    <row r="954" spans="3:29" x14ac:dyDescent="0.3">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row>
    <row r="955" spans="3:29" x14ac:dyDescent="0.3">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row>
    <row r="956" spans="3:29" x14ac:dyDescent="0.3">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row>
    <row r="957" spans="3:29" x14ac:dyDescent="0.3">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row>
    <row r="958" spans="3:29" x14ac:dyDescent="0.3">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row>
    <row r="959" spans="3:29" x14ac:dyDescent="0.3">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row>
    <row r="960" spans="3:29" x14ac:dyDescent="0.3">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row>
    <row r="961" spans="3:29" x14ac:dyDescent="0.3">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row>
    <row r="962" spans="3:29" x14ac:dyDescent="0.3">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row>
    <row r="963" spans="3:29" x14ac:dyDescent="0.3">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row>
    <row r="964" spans="3:29" x14ac:dyDescent="0.3">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row>
    <row r="965" spans="3:29" x14ac:dyDescent="0.3">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row>
    <row r="966" spans="3:29" x14ac:dyDescent="0.3">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row>
    <row r="967" spans="3:29" x14ac:dyDescent="0.3">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row>
    <row r="968" spans="3:29" x14ac:dyDescent="0.3">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row>
    <row r="969" spans="3:29" x14ac:dyDescent="0.3">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row>
    <row r="970" spans="3:29" x14ac:dyDescent="0.3">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row>
    <row r="971" spans="3:29" x14ac:dyDescent="0.3">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row>
    <row r="972" spans="3:29" x14ac:dyDescent="0.3">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row>
    <row r="973" spans="3:29" x14ac:dyDescent="0.3">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row>
    <row r="974" spans="3:29" x14ac:dyDescent="0.3">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row>
    <row r="975" spans="3:29" x14ac:dyDescent="0.3">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row>
    <row r="976" spans="3:29" x14ac:dyDescent="0.3">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row>
    <row r="977" spans="3:29" x14ac:dyDescent="0.3">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row>
    <row r="978" spans="3:29" x14ac:dyDescent="0.3">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row>
    <row r="979" spans="3:29" x14ac:dyDescent="0.3">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row>
    <row r="980" spans="3:29" x14ac:dyDescent="0.3">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row>
    <row r="981" spans="3:29" x14ac:dyDescent="0.3">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row>
    <row r="982" spans="3:29" x14ac:dyDescent="0.3">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row>
    <row r="983" spans="3:29" x14ac:dyDescent="0.3">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row>
  </sheetData>
  <phoneticPr fontId="2" type="noConversion"/>
  <conditionalFormatting sqref="R23:V39">
    <cfRule type="dataBar" priority="3">
      <dataBar>
        <cfvo type="min"/>
        <cfvo type="max"/>
        <color theme="1" tint="0.34998626667073579"/>
      </dataBar>
      <extLst>
        <ext xmlns:x14="http://schemas.microsoft.com/office/spreadsheetml/2009/9/main" uri="{B025F937-C7B1-47D3-B67F-A62EFF666E3E}">
          <x14:id>{C7A7DF08-D24B-449D-A9CA-EB6E98985520}</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dataBar" id="{C7A7DF08-D24B-449D-A9CA-EB6E98985520}">
            <x14:dataBar minLength="0" maxLength="100" gradient="0">
              <x14:cfvo type="autoMin"/>
              <x14:cfvo type="autoMax"/>
              <x14:negativeFillColor rgb="FFFF0000"/>
              <x14:axisColor rgb="FF000000"/>
            </x14:dataBar>
          </x14:cfRule>
          <xm:sqref>R23:V39</xm:sqref>
        </x14:conditionalFormatting>
        <x14:conditionalFormatting xmlns:xm="http://schemas.microsoft.com/office/excel/2006/main">
          <x14:cfRule type="expression" priority="4" id="{BF874877-8119-406D-B254-2AF5B2BD061A}">
            <xm:f>R$21='pivot tabel'!$G$55</xm:f>
            <x14:dxf>
              <fill>
                <patternFill>
                  <bgColor rgb="FFB07BD7"/>
                </patternFill>
              </fill>
              <border>
                <vertical/>
                <horizontal/>
              </border>
            </x14:dxf>
          </x14:cfRule>
          <x14:cfRule type="expression" priority="5" id="{74D591EA-85E2-4B9F-86A6-732341C93E4B}">
            <xm:f>R$21='pivot tabel'!$G$55</xm:f>
            <x14:dxf/>
          </x14:cfRule>
          <xm:sqref>R21:V39</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71636-1935-4355-8609-21D9162DDED0}">
  <dimension ref="A3:M96"/>
  <sheetViews>
    <sheetView topLeftCell="D44" workbookViewId="0">
      <selection activeCell="B79" sqref="B79"/>
    </sheetView>
  </sheetViews>
  <sheetFormatPr defaultRowHeight="14.4" x14ac:dyDescent="0.3"/>
  <cols>
    <col min="1" max="1" width="12.5546875" bestFit="1" customWidth="1"/>
    <col min="2" max="3" width="12" bestFit="1" customWidth="1"/>
    <col min="4" max="4" width="11.6640625" bestFit="1" customWidth="1"/>
    <col min="5" max="5" width="7.109375" bestFit="1" customWidth="1"/>
    <col min="6" max="6" width="9.6640625" customWidth="1"/>
    <col min="7" max="7" width="12.5546875" bestFit="1" customWidth="1"/>
    <col min="8" max="190" width="15.5546875" bestFit="1" customWidth="1"/>
    <col min="191" max="191" width="10.77734375" bestFit="1" customWidth="1"/>
  </cols>
  <sheetData>
    <row r="3" spans="1:5" x14ac:dyDescent="0.3">
      <c r="A3" t="s">
        <v>1040</v>
      </c>
      <c r="B3" t="s">
        <v>1041</v>
      </c>
      <c r="C3" t="s">
        <v>1042</v>
      </c>
      <c r="D3" t="s">
        <v>1043</v>
      </c>
      <c r="E3" t="s">
        <v>1044</v>
      </c>
    </row>
    <row r="4" spans="1:5" x14ac:dyDescent="0.3">
      <c r="A4">
        <v>1000</v>
      </c>
      <c r="B4">
        <v>89850</v>
      </c>
      <c r="C4">
        <v>96623</v>
      </c>
      <c r="D4" s="7">
        <v>3.8854000000000033</v>
      </c>
      <c r="E4">
        <v>307</v>
      </c>
    </row>
    <row r="10" spans="1:5" x14ac:dyDescent="0.3">
      <c r="A10" t="s">
        <v>1040</v>
      </c>
      <c r="B10" t="s">
        <v>1041</v>
      </c>
      <c r="C10" t="s">
        <v>1042</v>
      </c>
      <c r="D10" t="s">
        <v>1043</v>
      </c>
      <c r="E10" t="s">
        <v>1044</v>
      </c>
    </row>
    <row r="11" spans="1:5" x14ac:dyDescent="0.3">
      <c r="A11" s="15">
        <v>186</v>
      </c>
      <c r="B11" s="15">
        <v>17807</v>
      </c>
      <c r="C11" s="15">
        <v>16651</v>
      </c>
      <c r="D11" s="7">
        <v>3.8973118279569863</v>
      </c>
      <c r="E11" s="15">
        <v>62</v>
      </c>
    </row>
    <row r="13" spans="1:5" ht="21.6" customHeight="1" x14ac:dyDescent="0.3"/>
    <row r="14" spans="1:5" ht="21.6" customHeight="1" x14ac:dyDescent="0.3"/>
    <row r="17" spans="1:3" x14ac:dyDescent="0.3">
      <c r="B17" t="s">
        <v>1040</v>
      </c>
      <c r="C17" t="s">
        <v>1058</v>
      </c>
    </row>
    <row r="18" spans="1:3" x14ac:dyDescent="0.3">
      <c r="A18" s="9" t="s">
        <v>1046</v>
      </c>
      <c r="B18" s="15">
        <v>10</v>
      </c>
      <c r="C18" s="15">
        <v>10</v>
      </c>
    </row>
    <row r="19" spans="1:3" x14ac:dyDescent="0.3">
      <c r="A19" s="9" t="s">
        <v>1047</v>
      </c>
      <c r="B19" s="15">
        <v>11</v>
      </c>
      <c r="C19" s="15">
        <v>11</v>
      </c>
    </row>
    <row r="20" spans="1:3" x14ac:dyDescent="0.3">
      <c r="A20" s="9" t="s">
        <v>1048</v>
      </c>
      <c r="B20" s="15">
        <v>30</v>
      </c>
      <c r="C20" s="15">
        <v>30</v>
      </c>
    </row>
    <row r="21" spans="1:3" x14ac:dyDescent="0.3">
      <c r="A21" s="9" t="s">
        <v>1049</v>
      </c>
      <c r="B21" s="15">
        <v>23</v>
      </c>
      <c r="C21" s="15">
        <v>23</v>
      </c>
    </row>
    <row r="22" spans="1:3" x14ac:dyDescent="0.3">
      <c r="A22" s="9" t="s">
        <v>1050</v>
      </c>
      <c r="B22" s="15">
        <v>22</v>
      </c>
      <c r="C22" s="15">
        <v>22</v>
      </c>
    </row>
    <row r="23" spans="1:3" x14ac:dyDescent="0.3">
      <c r="A23" s="9" t="s">
        <v>1051</v>
      </c>
      <c r="B23" s="15">
        <v>11</v>
      </c>
      <c r="C23" s="15">
        <v>11</v>
      </c>
    </row>
    <row r="24" spans="1:3" x14ac:dyDescent="0.3">
      <c r="A24" s="9" t="s">
        <v>1052</v>
      </c>
      <c r="B24" s="15">
        <v>17</v>
      </c>
      <c r="C24" s="15">
        <v>17</v>
      </c>
    </row>
    <row r="25" spans="1:3" x14ac:dyDescent="0.3">
      <c r="A25" s="9" t="s">
        <v>1053</v>
      </c>
      <c r="B25" s="15">
        <v>12</v>
      </c>
      <c r="C25" s="15">
        <v>12</v>
      </c>
    </row>
    <row r="26" spans="1:3" x14ac:dyDescent="0.3">
      <c r="A26" s="9" t="s">
        <v>1054</v>
      </c>
      <c r="B26" s="15">
        <v>13</v>
      </c>
      <c r="C26" s="15">
        <v>13</v>
      </c>
    </row>
    <row r="27" spans="1:3" x14ac:dyDescent="0.3">
      <c r="A27" s="9" t="s">
        <v>1055</v>
      </c>
      <c r="B27" s="15">
        <v>15</v>
      </c>
      <c r="C27" s="15">
        <v>15</v>
      </c>
    </row>
    <row r="28" spans="1:3" x14ac:dyDescent="0.3">
      <c r="A28" s="9" t="s">
        <v>1056</v>
      </c>
      <c r="B28" s="15">
        <v>8</v>
      </c>
      <c r="C28" s="15">
        <v>8</v>
      </c>
    </row>
    <row r="29" spans="1:3" x14ac:dyDescent="0.3">
      <c r="A29" s="9" t="s">
        <v>1057</v>
      </c>
      <c r="B29" s="15">
        <v>14</v>
      </c>
      <c r="C29" s="15">
        <v>14</v>
      </c>
    </row>
    <row r="30" spans="1:3" x14ac:dyDescent="0.3">
      <c r="A30" s="9" t="s">
        <v>1045</v>
      </c>
      <c r="B30" s="15">
        <v>186</v>
      </c>
      <c r="C30" s="15">
        <v>186</v>
      </c>
    </row>
    <row r="35" spans="2:13" x14ac:dyDescent="0.3">
      <c r="B35" s="8" t="s">
        <v>1059</v>
      </c>
      <c r="C35" t="s">
        <v>1040</v>
      </c>
    </row>
    <row r="36" spans="2:13" x14ac:dyDescent="0.3">
      <c r="B36" s="9" t="s">
        <v>1063</v>
      </c>
      <c r="C36" s="15">
        <v>25</v>
      </c>
      <c r="L36" t="s">
        <v>1069</v>
      </c>
      <c r="M36" t="str">
        <f>G55</f>
        <v>R04</v>
      </c>
    </row>
    <row r="37" spans="2:13" x14ac:dyDescent="0.3">
      <c r="B37" s="9" t="s">
        <v>1061</v>
      </c>
      <c r="C37" s="15">
        <v>23</v>
      </c>
    </row>
    <row r="38" spans="2:13" x14ac:dyDescent="0.3">
      <c r="B38" s="9" t="s">
        <v>1065</v>
      </c>
      <c r="C38" s="15">
        <v>28</v>
      </c>
    </row>
    <row r="39" spans="2:13" x14ac:dyDescent="0.3">
      <c r="B39" s="9" t="s">
        <v>1066</v>
      </c>
      <c r="C39" s="15">
        <v>29</v>
      </c>
    </row>
    <row r="40" spans="2:13" x14ac:dyDescent="0.3">
      <c r="B40" s="9" t="s">
        <v>1064</v>
      </c>
      <c r="C40" s="15">
        <v>18</v>
      </c>
    </row>
    <row r="41" spans="2:13" x14ac:dyDescent="0.3">
      <c r="B41" s="9" t="s">
        <v>1060</v>
      </c>
      <c r="C41" s="15">
        <v>29</v>
      </c>
    </row>
    <row r="42" spans="2:13" x14ac:dyDescent="0.3">
      <c r="B42" s="9" t="s">
        <v>1062</v>
      </c>
      <c r="C42" s="15">
        <v>34</v>
      </c>
    </row>
    <row r="43" spans="2:13" x14ac:dyDescent="0.3">
      <c r="B43" s="9" t="s">
        <v>1045</v>
      </c>
      <c r="C43" s="15">
        <v>186</v>
      </c>
    </row>
    <row r="46" spans="2:13" x14ac:dyDescent="0.3">
      <c r="F46" t="str" cm="1">
        <f t="array" ref="F46:H51">B48:D53</f>
        <v>Row Labels</v>
      </c>
      <c r="G46" t="str">
        <v>TOTAL CALLS</v>
      </c>
      <c r="H46" t="str">
        <v>TOTAL AMOUNT</v>
      </c>
      <c r="I46" t="s">
        <v>1067</v>
      </c>
      <c r="J46" t="s">
        <v>1068</v>
      </c>
    </row>
    <row r="47" spans="2:13" x14ac:dyDescent="0.3">
      <c r="F47" t="str">
        <v>R01</v>
      </c>
      <c r="G47">
        <v>189</v>
      </c>
      <c r="H47" s="10">
        <v>18415</v>
      </c>
      <c r="I47" t="e">
        <f>IF(F47=$M$36,G47,NA())</f>
        <v>#N/A</v>
      </c>
      <c r="J47" s="10" t="e">
        <f>IF(F47=$M$36,H47,NA())</f>
        <v>#N/A</v>
      </c>
    </row>
    <row r="48" spans="2:13" x14ac:dyDescent="0.3">
      <c r="B48" s="8" t="s">
        <v>1059</v>
      </c>
      <c r="C48" t="s">
        <v>1040</v>
      </c>
      <c r="D48" t="s">
        <v>1042</v>
      </c>
      <c r="F48" t="str">
        <v>R02</v>
      </c>
      <c r="G48">
        <v>218</v>
      </c>
      <c r="H48" s="10">
        <v>20581</v>
      </c>
      <c r="I48" t="e">
        <f t="shared" ref="I48:I51" si="0">IF(F48=$M$36,G48,NA())</f>
        <v>#N/A</v>
      </c>
      <c r="J48" s="10" t="e">
        <f t="shared" ref="J48:J51" si="1">IF(F48=$M$36,H48,NA())</f>
        <v>#N/A</v>
      </c>
    </row>
    <row r="49" spans="2:10" x14ac:dyDescent="0.3">
      <c r="B49" s="9" t="s">
        <v>29</v>
      </c>
      <c r="C49">
        <v>189</v>
      </c>
      <c r="D49">
        <v>18415</v>
      </c>
      <c r="F49" t="str">
        <v>R03</v>
      </c>
      <c r="G49">
        <v>207</v>
      </c>
      <c r="H49" s="10">
        <v>20872</v>
      </c>
      <c r="I49" t="e">
        <f t="shared" si="0"/>
        <v>#N/A</v>
      </c>
      <c r="J49" s="10" t="e">
        <f t="shared" si="1"/>
        <v>#N/A</v>
      </c>
    </row>
    <row r="50" spans="2:10" x14ac:dyDescent="0.3">
      <c r="B50" s="9" t="s">
        <v>23</v>
      </c>
      <c r="C50">
        <v>218</v>
      </c>
      <c r="D50">
        <v>20581</v>
      </c>
      <c r="F50" t="str">
        <v>R04</v>
      </c>
      <c r="G50">
        <v>186</v>
      </c>
      <c r="H50" s="10">
        <v>16651</v>
      </c>
      <c r="I50">
        <f t="shared" si="0"/>
        <v>186</v>
      </c>
      <c r="J50" s="10">
        <f t="shared" si="1"/>
        <v>16651</v>
      </c>
    </row>
    <row r="51" spans="2:10" x14ac:dyDescent="0.3">
      <c r="B51" s="9" t="s">
        <v>42</v>
      </c>
      <c r="C51">
        <v>207</v>
      </c>
      <c r="D51">
        <v>20872</v>
      </c>
      <c r="F51" t="str">
        <v>R05</v>
      </c>
      <c r="G51">
        <v>200</v>
      </c>
      <c r="H51" s="10">
        <v>20104</v>
      </c>
      <c r="I51" t="e">
        <f t="shared" si="0"/>
        <v>#N/A</v>
      </c>
      <c r="J51" s="10" t="e">
        <f t="shared" si="1"/>
        <v>#N/A</v>
      </c>
    </row>
    <row r="52" spans="2:10" x14ac:dyDescent="0.3">
      <c r="B52" s="9" t="s">
        <v>36</v>
      </c>
      <c r="C52">
        <v>186</v>
      </c>
      <c r="D52">
        <v>16651</v>
      </c>
    </row>
    <row r="53" spans="2:10" x14ac:dyDescent="0.3">
      <c r="B53" s="9" t="s">
        <v>13</v>
      </c>
      <c r="C53">
        <v>200</v>
      </c>
      <c r="D53">
        <v>20104</v>
      </c>
    </row>
    <row r="54" spans="2:10" x14ac:dyDescent="0.3">
      <c r="B54" s="9" t="s">
        <v>1045</v>
      </c>
      <c r="C54">
        <v>1000</v>
      </c>
      <c r="D54">
        <v>96623</v>
      </c>
      <c r="G54" s="8" t="s">
        <v>1059</v>
      </c>
    </row>
    <row r="55" spans="2:10" x14ac:dyDescent="0.3">
      <c r="G55" s="9" t="s">
        <v>36</v>
      </c>
    </row>
    <row r="56" spans="2:10" x14ac:dyDescent="0.3">
      <c r="G56" s="9" t="s">
        <v>1045</v>
      </c>
    </row>
    <row r="59" spans="2:10" x14ac:dyDescent="0.3">
      <c r="C59" s="8" t="s">
        <v>1040</v>
      </c>
      <c r="D59" s="8" t="s">
        <v>1070</v>
      </c>
    </row>
    <row r="60" spans="2:10" x14ac:dyDescent="0.3">
      <c r="C60" s="8" t="s">
        <v>1059</v>
      </c>
      <c r="D60" t="s">
        <v>34</v>
      </c>
      <c r="E60" t="s">
        <v>15</v>
      </c>
      <c r="F60" t="s">
        <v>1045</v>
      </c>
    </row>
    <row r="61" spans="2:10" x14ac:dyDescent="0.3">
      <c r="C61" s="9" t="s">
        <v>24</v>
      </c>
      <c r="D61">
        <v>144</v>
      </c>
      <c r="E61">
        <v>132</v>
      </c>
      <c r="F61">
        <v>276</v>
      </c>
    </row>
    <row r="62" spans="2:10" x14ac:dyDescent="0.3">
      <c r="C62" s="9" t="s">
        <v>20</v>
      </c>
      <c r="D62">
        <v>326</v>
      </c>
      <c r="E62">
        <v>63</v>
      </c>
      <c r="F62">
        <v>389</v>
      </c>
    </row>
    <row r="63" spans="2:10" x14ac:dyDescent="0.3">
      <c r="C63" s="9" t="s">
        <v>16</v>
      </c>
      <c r="D63">
        <v>129</v>
      </c>
      <c r="E63">
        <v>206</v>
      </c>
      <c r="F63">
        <v>335</v>
      </c>
    </row>
    <row r="64" spans="2:10" x14ac:dyDescent="0.3">
      <c r="C64" s="9" t="s">
        <v>1045</v>
      </c>
      <c r="D64">
        <v>599</v>
      </c>
      <c r="E64">
        <v>401</v>
      </c>
      <c r="F64">
        <v>1000</v>
      </c>
    </row>
    <row r="68" spans="1:7" x14ac:dyDescent="0.3">
      <c r="A68" s="8" t="s">
        <v>1059</v>
      </c>
      <c r="B68" t="s">
        <v>1040</v>
      </c>
    </row>
    <row r="69" spans="1:7" x14ac:dyDescent="0.3">
      <c r="A69" s="9">
        <v>1</v>
      </c>
      <c r="B69" s="15">
        <v>3</v>
      </c>
    </row>
    <row r="70" spans="1:7" x14ac:dyDescent="0.3">
      <c r="A70" s="9">
        <v>2</v>
      </c>
      <c r="B70" s="15">
        <v>10</v>
      </c>
    </row>
    <row r="71" spans="1:7" x14ac:dyDescent="0.3">
      <c r="A71" s="9">
        <v>3</v>
      </c>
      <c r="B71" s="15">
        <v>41</v>
      </c>
    </row>
    <row r="72" spans="1:7" x14ac:dyDescent="0.3">
      <c r="A72" s="9">
        <v>4</v>
      </c>
      <c r="B72" s="15">
        <v>70</v>
      </c>
    </row>
    <row r="73" spans="1:7" x14ac:dyDescent="0.3">
      <c r="A73" s="9">
        <v>5</v>
      </c>
      <c r="B73" s="15">
        <v>62</v>
      </c>
    </row>
    <row r="74" spans="1:7" x14ac:dyDescent="0.3">
      <c r="A74" s="9" t="s">
        <v>1045</v>
      </c>
      <c r="B74" s="15">
        <v>186</v>
      </c>
    </row>
    <row r="77" spans="1:7" x14ac:dyDescent="0.3">
      <c r="A77" s="8" t="s">
        <v>1071</v>
      </c>
      <c r="B77" s="8" t="s">
        <v>1070</v>
      </c>
    </row>
    <row r="78" spans="1:7" x14ac:dyDescent="0.3">
      <c r="A78" s="8" t="s">
        <v>1059</v>
      </c>
      <c r="B78" t="s">
        <v>29</v>
      </c>
      <c r="C78" t="s">
        <v>23</v>
      </c>
      <c r="D78" t="s">
        <v>42</v>
      </c>
      <c r="E78" t="s">
        <v>36</v>
      </c>
      <c r="F78" t="s">
        <v>13</v>
      </c>
      <c r="G78" t="s">
        <v>1045</v>
      </c>
    </row>
    <row r="79" spans="1:7" x14ac:dyDescent="0.3">
      <c r="A79" s="9" t="s">
        <v>24</v>
      </c>
    </row>
    <row r="80" spans="1:7" x14ac:dyDescent="0.3">
      <c r="A80" s="12" t="s">
        <v>12</v>
      </c>
      <c r="B80">
        <v>891</v>
      </c>
      <c r="C80">
        <v>1332</v>
      </c>
      <c r="D80">
        <v>1282</v>
      </c>
      <c r="E80">
        <v>739</v>
      </c>
      <c r="F80">
        <v>560</v>
      </c>
      <c r="G80">
        <v>4804</v>
      </c>
    </row>
    <row r="81" spans="1:7" x14ac:dyDescent="0.3">
      <c r="A81" s="12" t="s">
        <v>18</v>
      </c>
      <c r="B81">
        <v>1991</v>
      </c>
      <c r="C81">
        <v>1886</v>
      </c>
      <c r="D81">
        <v>1206</v>
      </c>
      <c r="E81">
        <v>884</v>
      </c>
      <c r="F81">
        <v>1722</v>
      </c>
      <c r="G81">
        <v>7689</v>
      </c>
    </row>
    <row r="82" spans="1:7" x14ac:dyDescent="0.3">
      <c r="A82" s="12" t="s">
        <v>28</v>
      </c>
      <c r="B82">
        <v>1163</v>
      </c>
      <c r="C82">
        <v>1180</v>
      </c>
      <c r="D82">
        <v>1616</v>
      </c>
      <c r="E82">
        <v>1043</v>
      </c>
      <c r="F82">
        <v>1747</v>
      </c>
      <c r="G82">
        <v>6749</v>
      </c>
    </row>
    <row r="83" spans="1:7" x14ac:dyDescent="0.3">
      <c r="A83" s="12" t="s">
        <v>46</v>
      </c>
      <c r="B83">
        <v>1438</v>
      </c>
      <c r="C83">
        <v>1616</v>
      </c>
      <c r="D83">
        <v>866</v>
      </c>
      <c r="E83">
        <v>829</v>
      </c>
      <c r="F83">
        <v>2070</v>
      </c>
      <c r="G83">
        <v>6819</v>
      </c>
    </row>
    <row r="84" spans="1:7" x14ac:dyDescent="0.3">
      <c r="A84" s="9" t="s">
        <v>20</v>
      </c>
    </row>
    <row r="85" spans="1:7" x14ac:dyDescent="0.3">
      <c r="A85" s="12" t="s">
        <v>19</v>
      </c>
      <c r="B85">
        <v>1233</v>
      </c>
      <c r="C85">
        <v>223</v>
      </c>
      <c r="D85">
        <v>1680</v>
      </c>
      <c r="E85">
        <v>990</v>
      </c>
      <c r="F85">
        <v>1508</v>
      </c>
      <c r="G85">
        <v>5634</v>
      </c>
    </row>
    <row r="86" spans="1:7" x14ac:dyDescent="0.3">
      <c r="A86" s="12" t="s">
        <v>33</v>
      </c>
      <c r="B86">
        <v>1598</v>
      </c>
      <c r="C86">
        <v>1907</v>
      </c>
      <c r="D86">
        <v>869</v>
      </c>
      <c r="E86">
        <v>1426</v>
      </c>
      <c r="F86">
        <v>1416</v>
      </c>
      <c r="G86">
        <v>7216</v>
      </c>
    </row>
    <row r="87" spans="1:7" x14ac:dyDescent="0.3">
      <c r="A87" s="12" t="s">
        <v>37</v>
      </c>
      <c r="B87">
        <v>900</v>
      </c>
      <c r="C87">
        <v>1016</v>
      </c>
      <c r="D87">
        <v>960</v>
      </c>
      <c r="E87">
        <v>940</v>
      </c>
      <c r="F87">
        <v>1193</v>
      </c>
      <c r="G87">
        <v>5009</v>
      </c>
    </row>
    <row r="88" spans="1:7" x14ac:dyDescent="0.3">
      <c r="A88" s="12" t="s">
        <v>41</v>
      </c>
      <c r="B88">
        <v>900</v>
      </c>
      <c r="C88">
        <v>1470</v>
      </c>
      <c r="D88">
        <v>1617</v>
      </c>
      <c r="E88">
        <v>1314</v>
      </c>
      <c r="F88">
        <v>941</v>
      </c>
      <c r="G88">
        <v>6242</v>
      </c>
    </row>
    <row r="89" spans="1:7" x14ac:dyDescent="0.3">
      <c r="A89" s="12" t="s">
        <v>45</v>
      </c>
      <c r="B89">
        <v>1255</v>
      </c>
      <c r="C89">
        <v>516</v>
      </c>
      <c r="D89">
        <v>1874</v>
      </c>
      <c r="E89">
        <v>1863</v>
      </c>
      <c r="F89">
        <v>1722</v>
      </c>
      <c r="G89">
        <v>7230</v>
      </c>
    </row>
    <row r="90" spans="1:7" x14ac:dyDescent="0.3">
      <c r="A90" s="12" t="s">
        <v>50</v>
      </c>
      <c r="B90">
        <v>1138</v>
      </c>
      <c r="C90">
        <v>1898</v>
      </c>
      <c r="D90">
        <v>1482</v>
      </c>
      <c r="E90">
        <v>846</v>
      </c>
      <c r="F90">
        <v>1154</v>
      </c>
      <c r="G90">
        <v>6518</v>
      </c>
    </row>
    <row r="91" spans="1:7" x14ac:dyDescent="0.3">
      <c r="A91" s="9" t="s">
        <v>16</v>
      </c>
    </row>
    <row r="92" spans="1:7" x14ac:dyDescent="0.3">
      <c r="A92" s="12" t="s">
        <v>14</v>
      </c>
      <c r="B92">
        <v>1655</v>
      </c>
      <c r="C92">
        <v>805</v>
      </c>
      <c r="D92">
        <v>2263</v>
      </c>
      <c r="E92">
        <v>987</v>
      </c>
      <c r="F92">
        <v>1075</v>
      </c>
      <c r="G92">
        <v>6785</v>
      </c>
    </row>
    <row r="93" spans="1:7" x14ac:dyDescent="0.3">
      <c r="A93" s="12" t="s">
        <v>22</v>
      </c>
      <c r="B93">
        <v>1104</v>
      </c>
      <c r="C93">
        <v>2280</v>
      </c>
      <c r="D93">
        <v>1445</v>
      </c>
      <c r="E93">
        <v>1722</v>
      </c>
      <c r="F93">
        <v>1196</v>
      </c>
      <c r="G93">
        <v>7747</v>
      </c>
    </row>
    <row r="94" spans="1:7" x14ac:dyDescent="0.3">
      <c r="A94" s="12" t="s">
        <v>31</v>
      </c>
      <c r="B94">
        <v>372</v>
      </c>
      <c r="C94">
        <v>1818</v>
      </c>
      <c r="D94">
        <v>1346</v>
      </c>
      <c r="E94">
        <v>1156</v>
      </c>
      <c r="F94">
        <v>1484</v>
      </c>
      <c r="G94">
        <v>6176</v>
      </c>
    </row>
    <row r="95" spans="1:7" x14ac:dyDescent="0.3">
      <c r="A95" s="12" t="s">
        <v>39</v>
      </c>
      <c r="B95">
        <v>1415</v>
      </c>
      <c r="C95">
        <v>1271</v>
      </c>
      <c r="D95">
        <v>1214</v>
      </c>
      <c r="E95">
        <v>1135</v>
      </c>
      <c r="F95">
        <v>1566</v>
      </c>
      <c r="G95">
        <v>6601</v>
      </c>
    </row>
    <row r="96" spans="1:7" x14ac:dyDescent="0.3">
      <c r="A96" s="12" t="s">
        <v>26</v>
      </c>
      <c r="B96">
        <v>1362</v>
      </c>
      <c r="C96">
        <v>1363</v>
      </c>
      <c r="D96">
        <v>1152</v>
      </c>
      <c r="E96">
        <v>777</v>
      </c>
      <c r="F96">
        <v>750</v>
      </c>
      <c r="G96">
        <v>5404</v>
      </c>
    </row>
  </sheetData>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A27A2-2A9B-4AE4-BDF7-3BA7814F5D6B}">
  <dimension ref="A1:T1001"/>
  <sheetViews>
    <sheetView topLeftCell="A86" workbookViewId="0">
      <selection activeCell="N2" sqref="N2:N1001"/>
    </sheetView>
  </sheetViews>
  <sheetFormatPr defaultRowHeight="14.4" x14ac:dyDescent="0.3"/>
  <cols>
    <col min="1" max="1" width="13.33203125" bestFit="1" customWidth="1"/>
    <col min="2" max="2" width="13.5546875" bestFit="1" customWidth="1"/>
    <col min="3" max="3" width="10.5546875" bestFit="1" customWidth="1"/>
    <col min="4" max="4" width="15.88671875" bestFit="1" customWidth="1"/>
    <col min="5" max="5" width="12.77734375" bestFit="1" customWidth="1"/>
    <col min="6" max="6" width="18.33203125" bestFit="1" customWidth="1"/>
    <col min="7" max="7" width="18.88671875" bestFit="1" customWidth="1"/>
    <col min="8" max="8" width="10.77734375" bestFit="1" customWidth="1"/>
    <col min="9" max="9" width="11.77734375" bestFit="1" customWidth="1"/>
    <col min="10" max="10" width="15.6640625" bestFit="1" customWidth="1"/>
    <col min="11" max="11" width="9.33203125" bestFit="1" customWidth="1"/>
    <col min="12" max="12" width="6.44140625" bestFit="1" customWidth="1"/>
    <col min="13" max="13" width="9.109375" bestFit="1" customWidth="1"/>
    <col min="14" max="14" width="16.77734375" bestFit="1" customWidth="1"/>
    <col min="17" max="17" width="15.21875" customWidth="1"/>
    <col min="18" max="18" width="9" customWidth="1"/>
  </cols>
  <sheetData>
    <row r="1" spans="1:20" x14ac:dyDescent="0.3">
      <c r="A1" t="s">
        <v>0</v>
      </c>
      <c r="B1" t="s">
        <v>1</v>
      </c>
      <c r="C1" t="s">
        <v>2</v>
      </c>
      <c r="D1" t="s">
        <v>3</v>
      </c>
      <c r="E1" t="s">
        <v>4</v>
      </c>
      <c r="F1" t="s">
        <v>5</v>
      </c>
      <c r="G1" t="s">
        <v>6</v>
      </c>
      <c r="H1" t="s">
        <v>1037</v>
      </c>
      <c r="I1" t="s">
        <v>1038</v>
      </c>
      <c r="J1" t="s">
        <v>1036</v>
      </c>
      <c r="K1" t="s">
        <v>8</v>
      </c>
      <c r="L1" t="s">
        <v>9</v>
      </c>
      <c r="M1" t="s">
        <v>10</v>
      </c>
      <c r="N1" t="s">
        <v>1039</v>
      </c>
    </row>
    <row r="2" spans="1:20" x14ac:dyDescent="0.3">
      <c r="A2" t="s">
        <v>11</v>
      </c>
      <c r="B2" t="s">
        <v>12</v>
      </c>
      <c r="C2">
        <v>116</v>
      </c>
      <c r="D2" t="s">
        <v>13</v>
      </c>
      <c r="E2" s="1">
        <v>44927</v>
      </c>
      <c r="F2">
        <v>128</v>
      </c>
      <c r="G2">
        <v>4.9000000000000004</v>
      </c>
      <c r="H2" t="str">
        <f>TEXT(calls[[#This Row],[Date of Call]],"DDDD")</f>
        <v>Sunday</v>
      </c>
      <c r="I2">
        <f>ROUND(calls[[#This Row],[Satisfaction Rating]],0)</f>
        <v>5</v>
      </c>
      <c r="J2" t="s">
        <v>14</v>
      </c>
      <c r="K2" t="s">
        <v>15</v>
      </c>
      <c r="L2">
        <v>41</v>
      </c>
      <c r="M2" t="s">
        <v>16</v>
      </c>
      <c r="N2" t="str" cm="1">
        <f t="array" ref="N2">_xlfn.IFS(_xlfn.SINGLE(calls[Duration])&lt;30,"UNDER 30 MINS",_xlfn.SINGLE(calls[Duration])&lt;60,"30 T0 60 MINS",_xlfn.SINGLE(calls[Duration])&lt;120,"1 TO 2 HRS",TRUE,"ABOVE 2 HRS")</f>
        <v>1 TO 2 HRS</v>
      </c>
      <c r="Q2" s="4" t="s">
        <v>7</v>
      </c>
      <c r="R2" s="4" t="s">
        <v>8</v>
      </c>
      <c r="S2" s="4" t="s">
        <v>9</v>
      </c>
      <c r="T2" s="4" t="s">
        <v>10</v>
      </c>
    </row>
    <row r="3" spans="1:20" x14ac:dyDescent="0.3">
      <c r="A3" t="s">
        <v>17</v>
      </c>
      <c r="B3" t="s">
        <v>18</v>
      </c>
      <c r="C3">
        <v>119</v>
      </c>
      <c r="D3" t="s">
        <v>13</v>
      </c>
      <c r="E3" s="1">
        <v>44927</v>
      </c>
      <c r="F3">
        <v>135</v>
      </c>
      <c r="G3">
        <v>2.9</v>
      </c>
      <c r="H3" t="str">
        <f>TEXT(calls[[#This Row],[Date of Call]],"DDDD")</f>
        <v>Sunday</v>
      </c>
      <c r="I3">
        <f>ROUND(calls[[#This Row],[Satisfaction Rating]],0)</f>
        <v>3</v>
      </c>
      <c r="J3" t="s">
        <v>19</v>
      </c>
      <c r="K3" t="s">
        <v>15</v>
      </c>
      <c r="L3">
        <v>31</v>
      </c>
      <c r="M3" t="s">
        <v>20</v>
      </c>
      <c r="N3" t="str" cm="1">
        <f t="array" ref="N3">_xlfn.IFS(_xlfn.SINGLE(calls[Duration])&lt;30,"UNDER 30 MINS",_xlfn.SINGLE(calls[Duration])&lt;60,"30 T0 60 MINS",_xlfn.SINGLE(calls[Duration])&lt;120,"1 TO 2 HRS",TRUE,"ABOVE 2 HRS")</f>
        <v>1 TO 2 HRS</v>
      </c>
      <c r="Q3" s="2" t="s">
        <v>14</v>
      </c>
      <c r="R3" s="2" t="s">
        <v>15</v>
      </c>
      <c r="S3" s="2">
        <v>41</v>
      </c>
      <c r="T3" s="2" t="s">
        <v>16</v>
      </c>
    </row>
    <row r="4" spans="1:20" x14ac:dyDescent="0.3">
      <c r="A4" t="s">
        <v>21</v>
      </c>
      <c r="B4" t="s">
        <v>22</v>
      </c>
      <c r="C4">
        <v>68</v>
      </c>
      <c r="D4" t="s">
        <v>23</v>
      </c>
      <c r="E4" s="1">
        <v>44927</v>
      </c>
      <c r="F4">
        <v>66</v>
      </c>
      <c r="G4">
        <v>4.7</v>
      </c>
      <c r="H4" t="str">
        <f>TEXT(calls[[#This Row],[Date of Call]],"DDDD")</f>
        <v>Sunday</v>
      </c>
      <c r="I4">
        <f>ROUND(calls[[#This Row],[Satisfaction Rating]],0)</f>
        <v>5</v>
      </c>
      <c r="J4" t="s">
        <v>12</v>
      </c>
      <c r="K4" t="s">
        <v>15</v>
      </c>
      <c r="L4">
        <v>26</v>
      </c>
      <c r="M4" t="s">
        <v>24</v>
      </c>
      <c r="N4" t="str" cm="1">
        <f t="array" ref="N4">_xlfn.IFS(_xlfn.SINGLE(calls[Duration])&lt;30,"UNDER 30 MINS",_xlfn.SINGLE(calls[Duration])&lt;60,"30 T0 60 MINS",_xlfn.SINGLE(calls[Duration])&lt;120,"1 TO 2 HRS",TRUE,"ABOVE 2 HRS")</f>
        <v>1 TO 2 HRS</v>
      </c>
      <c r="Q4" s="3" t="s">
        <v>19</v>
      </c>
      <c r="R4" s="3" t="s">
        <v>15</v>
      </c>
      <c r="S4" s="3">
        <v>31</v>
      </c>
      <c r="T4" s="3" t="s">
        <v>20</v>
      </c>
    </row>
    <row r="5" spans="1:20" x14ac:dyDescent="0.3">
      <c r="A5" t="s">
        <v>25</v>
      </c>
      <c r="B5" t="s">
        <v>26</v>
      </c>
      <c r="C5">
        <v>119</v>
      </c>
      <c r="D5" t="s">
        <v>23</v>
      </c>
      <c r="E5" s="1">
        <v>44927</v>
      </c>
      <c r="F5">
        <v>22</v>
      </c>
      <c r="G5">
        <v>2.9</v>
      </c>
      <c r="H5" t="str">
        <f>TEXT(calls[[#This Row],[Date of Call]],"DDDD")</f>
        <v>Sunday</v>
      </c>
      <c r="I5">
        <f>ROUND(calls[[#This Row],[Satisfaction Rating]],0)</f>
        <v>3</v>
      </c>
      <c r="J5" t="s">
        <v>18</v>
      </c>
      <c r="K5" t="s">
        <v>15</v>
      </c>
      <c r="L5">
        <v>36</v>
      </c>
      <c r="M5" t="s">
        <v>24</v>
      </c>
      <c r="N5" t="str" cm="1">
        <f t="array" ref="N5">_xlfn.IFS(_xlfn.SINGLE(calls[Duration])&lt;30,"UNDER 30 MINS",_xlfn.SINGLE(calls[Duration])&lt;60,"30 T0 60 MINS",_xlfn.SINGLE(calls[Duration])&lt;120,"1 TO 2 HRS",TRUE,"ABOVE 2 HRS")</f>
        <v>1 TO 2 HRS</v>
      </c>
      <c r="Q5" s="2" t="s">
        <v>12</v>
      </c>
      <c r="R5" s="2" t="s">
        <v>15</v>
      </c>
      <c r="S5" s="2">
        <v>26</v>
      </c>
      <c r="T5" s="2" t="s">
        <v>24</v>
      </c>
    </row>
    <row r="6" spans="1:20" x14ac:dyDescent="0.3">
      <c r="A6" t="s">
        <v>27</v>
      </c>
      <c r="B6" t="s">
        <v>28</v>
      </c>
      <c r="C6">
        <v>128</v>
      </c>
      <c r="D6" t="s">
        <v>29</v>
      </c>
      <c r="E6" s="1">
        <v>44928</v>
      </c>
      <c r="F6">
        <v>31</v>
      </c>
      <c r="G6">
        <v>2.8</v>
      </c>
      <c r="H6" t="str">
        <f>TEXT(calls[[#This Row],[Date of Call]],"DDDD")</f>
        <v>Monday</v>
      </c>
      <c r="I6">
        <f>ROUND(calls[[#This Row],[Satisfaction Rating]],0)</f>
        <v>3</v>
      </c>
      <c r="J6" t="s">
        <v>22</v>
      </c>
      <c r="K6" t="s">
        <v>15</v>
      </c>
      <c r="L6">
        <v>37</v>
      </c>
      <c r="M6" t="s">
        <v>16</v>
      </c>
      <c r="N6" t="str" cm="1">
        <f t="array" ref="N6">_xlfn.IFS(_xlfn.SINGLE(calls[Duration])&lt;30,"UNDER 30 MINS",_xlfn.SINGLE(calls[Duration])&lt;60,"30 T0 60 MINS",_xlfn.SINGLE(calls[Duration])&lt;120,"1 TO 2 HRS",TRUE,"ABOVE 2 HRS")</f>
        <v>ABOVE 2 HRS</v>
      </c>
      <c r="Q6" s="3" t="s">
        <v>18</v>
      </c>
      <c r="R6" s="3" t="s">
        <v>15</v>
      </c>
      <c r="S6" s="3">
        <v>36</v>
      </c>
      <c r="T6" s="3" t="s">
        <v>24</v>
      </c>
    </row>
    <row r="7" spans="1:20" x14ac:dyDescent="0.3">
      <c r="A7" t="s">
        <v>30</v>
      </c>
      <c r="B7" t="s">
        <v>28</v>
      </c>
      <c r="C7">
        <v>49</v>
      </c>
      <c r="D7" t="s">
        <v>23</v>
      </c>
      <c r="E7" s="1">
        <v>44929</v>
      </c>
      <c r="F7">
        <v>135</v>
      </c>
      <c r="G7">
        <v>4.8</v>
      </c>
      <c r="H7" t="str">
        <f>TEXT(calls[[#This Row],[Date of Call]],"DDDD")</f>
        <v>Tuesday</v>
      </c>
      <c r="I7">
        <f>ROUND(calls[[#This Row],[Satisfaction Rating]],0)</f>
        <v>5</v>
      </c>
      <c r="J7" t="s">
        <v>31</v>
      </c>
      <c r="K7" t="s">
        <v>15</v>
      </c>
      <c r="L7">
        <v>23</v>
      </c>
      <c r="M7" t="s">
        <v>16</v>
      </c>
      <c r="N7" t="str" cm="1">
        <f t="array" ref="N7">_xlfn.IFS(_xlfn.SINGLE(calls[Duration])&lt;30,"UNDER 30 MINS",_xlfn.SINGLE(calls[Duration])&lt;60,"30 T0 60 MINS",_xlfn.SINGLE(calls[Duration])&lt;120,"1 TO 2 HRS",TRUE,"ABOVE 2 HRS")</f>
        <v>30 T0 60 MINS</v>
      </c>
      <c r="Q7" s="2" t="s">
        <v>22</v>
      </c>
      <c r="R7" s="2" t="s">
        <v>15</v>
      </c>
      <c r="S7" s="2">
        <v>37</v>
      </c>
      <c r="T7" s="2" t="s">
        <v>16</v>
      </c>
    </row>
    <row r="8" spans="1:20" x14ac:dyDescent="0.3">
      <c r="A8" t="s">
        <v>32</v>
      </c>
      <c r="B8" t="s">
        <v>33</v>
      </c>
      <c r="C8">
        <v>84</v>
      </c>
      <c r="D8" t="s">
        <v>13</v>
      </c>
      <c r="E8" s="1">
        <v>44929</v>
      </c>
      <c r="F8">
        <v>60</v>
      </c>
      <c r="G8">
        <v>4.7</v>
      </c>
      <c r="H8" t="str">
        <f>TEXT(calls[[#This Row],[Date of Call]],"DDDD")</f>
        <v>Tuesday</v>
      </c>
      <c r="I8">
        <f>ROUND(calls[[#This Row],[Satisfaction Rating]],0)</f>
        <v>5</v>
      </c>
      <c r="J8" t="s">
        <v>33</v>
      </c>
      <c r="K8" t="s">
        <v>34</v>
      </c>
      <c r="L8">
        <v>22</v>
      </c>
      <c r="M8" t="s">
        <v>20</v>
      </c>
      <c r="N8" t="str" cm="1">
        <f t="array" ref="N8">_xlfn.IFS(_xlfn.SINGLE(calls[Duration])&lt;30,"UNDER 30 MINS",_xlfn.SINGLE(calls[Duration])&lt;60,"30 T0 60 MINS",_xlfn.SINGLE(calls[Duration])&lt;120,"1 TO 2 HRS",TRUE,"ABOVE 2 HRS")</f>
        <v>1 TO 2 HRS</v>
      </c>
      <c r="Q8" s="3" t="s">
        <v>31</v>
      </c>
      <c r="R8" s="3" t="s">
        <v>15</v>
      </c>
      <c r="S8" s="3">
        <v>23</v>
      </c>
      <c r="T8" s="3" t="s">
        <v>16</v>
      </c>
    </row>
    <row r="9" spans="1:20" x14ac:dyDescent="0.3">
      <c r="A9" t="s">
        <v>35</v>
      </c>
      <c r="B9" t="s">
        <v>12</v>
      </c>
      <c r="C9">
        <v>103</v>
      </c>
      <c r="D9" t="s">
        <v>36</v>
      </c>
      <c r="E9" s="1">
        <v>44929</v>
      </c>
      <c r="F9">
        <v>148</v>
      </c>
      <c r="G9">
        <v>4.4000000000000004</v>
      </c>
      <c r="H9" t="str">
        <f>TEXT(calls[[#This Row],[Date of Call]],"DDDD")</f>
        <v>Tuesday</v>
      </c>
      <c r="I9">
        <f>ROUND(calls[[#This Row],[Satisfaction Rating]],0)</f>
        <v>4</v>
      </c>
      <c r="J9" t="s">
        <v>37</v>
      </c>
      <c r="K9" t="s">
        <v>34</v>
      </c>
      <c r="L9">
        <v>42</v>
      </c>
      <c r="M9" t="s">
        <v>20</v>
      </c>
      <c r="N9" t="str" cm="1">
        <f t="array" ref="N9">_xlfn.IFS(_xlfn.SINGLE(calls[Duration])&lt;30,"UNDER 30 MINS",_xlfn.SINGLE(calls[Duration])&lt;60,"30 T0 60 MINS",_xlfn.SINGLE(calls[Duration])&lt;120,"1 TO 2 HRS",TRUE,"ABOVE 2 HRS")</f>
        <v>1 TO 2 HRS</v>
      </c>
      <c r="Q9" s="2" t="s">
        <v>33</v>
      </c>
      <c r="R9" s="2" t="s">
        <v>34</v>
      </c>
      <c r="S9" s="2">
        <v>22</v>
      </c>
      <c r="T9" s="2" t="s">
        <v>20</v>
      </c>
    </row>
    <row r="10" spans="1:20" x14ac:dyDescent="0.3">
      <c r="A10" t="s">
        <v>38</v>
      </c>
      <c r="B10" t="s">
        <v>22</v>
      </c>
      <c r="C10">
        <v>31</v>
      </c>
      <c r="D10" t="s">
        <v>23</v>
      </c>
      <c r="E10" s="1">
        <v>44929</v>
      </c>
      <c r="F10">
        <v>135</v>
      </c>
      <c r="G10">
        <v>3.6</v>
      </c>
      <c r="H10" t="str">
        <f>TEXT(calls[[#This Row],[Date of Call]],"DDDD")</f>
        <v>Tuesday</v>
      </c>
      <c r="I10">
        <f>ROUND(calls[[#This Row],[Satisfaction Rating]],0)</f>
        <v>4</v>
      </c>
      <c r="J10" t="s">
        <v>39</v>
      </c>
      <c r="K10" t="s">
        <v>34</v>
      </c>
      <c r="L10">
        <v>25</v>
      </c>
      <c r="M10" t="s">
        <v>16</v>
      </c>
      <c r="N10" t="str" cm="1">
        <f t="array" ref="N10">_xlfn.IFS(_xlfn.SINGLE(calls[Duration])&lt;30,"UNDER 30 MINS",_xlfn.SINGLE(calls[Duration])&lt;60,"30 T0 60 MINS",_xlfn.SINGLE(calls[Duration])&lt;120,"1 TO 2 HRS",TRUE,"ABOVE 2 HRS")</f>
        <v>30 T0 60 MINS</v>
      </c>
      <c r="Q10" s="3" t="s">
        <v>37</v>
      </c>
      <c r="R10" s="3" t="s">
        <v>34</v>
      </c>
      <c r="S10" s="3">
        <v>42</v>
      </c>
      <c r="T10" s="3" t="s">
        <v>20</v>
      </c>
    </row>
    <row r="11" spans="1:20" x14ac:dyDescent="0.3">
      <c r="A11" t="s">
        <v>40</v>
      </c>
      <c r="B11" t="s">
        <v>41</v>
      </c>
      <c r="C11">
        <v>44</v>
      </c>
      <c r="D11" t="s">
        <v>42</v>
      </c>
      <c r="E11" s="1">
        <v>44929</v>
      </c>
      <c r="F11">
        <v>105</v>
      </c>
      <c r="G11">
        <v>2.9</v>
      </c>
      <c r="H11" t="str">
        <f>TEXT(calls[[#This Row],[Date of Call]],"DDDD")</f>
        <v>Tuesday</v>
      </c>
      <c r="I11">
        <f>ROUND(calls[[#This Row],[Satisfaction Rating]],0)</f>
        <v>3</v>
      </c>
      <c r="J11" t="s">
        <v>41</v>
      </c>
      <c r="K11" t="s">
        <v>34</v>
      </c>
      <c r="L11">
        <v>30</v>
      </c>
      <c r="M11" t="s">
        <v>20</v>
      </c>
      <c r="N11" t="str" cm="1">
        <f t="array" ref="N11">_xlfn.IFS(_xlfn.SINGLE(calls[Duration])&lt;30,"UNDER 30 MINS",_xlfn.SINGLE(calls[Duration])&lt;60,"30 T0 60 MINS",_xlfn.SINGLE(calls[Duration])&lt;120,"1 TO 2 HRS",TRUE,"ABOVE 2 HRS")</f>
        <v>30 T0 60 MINS</v>
      </c>
      <c r="Q11" s="2" t="s">
        <v>39</v>
      </c>
      <c r="R11" s="2" t="s">
        <v>34</v>
      </c>
      <c r="S11" s="2">
        <v>25</v>
      </c>
      <c r="T11" s="2" t="s">
        <v>16</v>
      </c>
    </row>
    <row r="12" spans="1:20" x14ac:dyDescent="0.3">
      <c r="A12" t="s">
        <v>43</v>
      </c>
      <c r="B12" t="s">
        <v>28</v>
      </c>
      <c r="C12">
        <v>102</v>
      </c>
      <c r="D12" t="s">
        <v>23</v>
      </c>
      <c r="E12" s="1">
        <v>44929</v>
      </c>
      <c r="F12">
        <v>69</v>
      </c>
      <c r="G12">
        <v>4.9000000000000004</v>
      </c>
      <c r="H12" t="str">
        <f>TEXT(calls[[#This Row],[Date of Call]],"DDDD")</f>
        <v>Tuesday</v>
      </c>
      <c r="I12">
        <f>ROUND(calls[[#This Row],[Satisfaction Rating]],0)</f>
        <v>5</v>
      </c>
      <c r="J12" t="s">
        <v>28</v>
      </c>
      <c r="K12" t="s">
        <v>34</v>
      </c>
      <c r="L12">
        <v>30</v>
      </c>
      <c r="M12" t="s">
        <v>24</v>
      </c>
      <c r="N12" t="str" cm="1">
        <f t="array" ref="N12">_xlfn.IFS(_xlfn.SINGLE(calls[Duration])&lt;30,"UNDER 30 MINS",_xlfn.SINGLE(calls[Duration])&lt;60,"30 T0 60 MINS",_xlfn.SINGLE(calls[Duration])&lt;120,"1 TO 2 HRS",TRUE,"ABOVE 2 HRS")</f>
        <v>1 TO 2 HRS</v>
      </c>
      <c r="Q12" s="3" t="s">
        <v>41</v>
      </c>
      <c r="R12" s="3" t="s">
        <v>34</v>
      </c>
      <c r="S12" s="3">
        <v>30</v>
      </c>
      <c r="T12" s="3" t="s">
        <v>20</v>
      </c>
    </row>
    <row r="13" spans="1:20" x14ac:dyDescent="0.3">
      <c r="A13" t="s">
        <v>44</v>
      </c>
      <c r="B13" t="s">
        <v>45</v>
      </c>
      <c r="C13">
        <v>135</v>
      </c>
      <c r="D13" t="s">
        <v>13</v>
      </c>
      <c r="E13" s="1">
        <v>44929</v>
      </c>
      <c r="F13">
        <v>46</v>
      </c>
      <c r="G13">
        <v>3.4</v>
      </c>
      <c r="H13" t="str">
        <f>TEXT(calls[[#This Row],[Date of Call]],"DDDD")</f>
        <v>Tuesday</v>
      </c>
      <c r="I13">
        <f>ROUND(calls[[#This Row],[Satisfaction Rating]],0)</f>
        <v>3</v>
      </c>
      <c r="J13" t="s">
        <v>46</v>
      </c>
      <c r="K13" t="s">
        <v>34</v>
      </c>
      <c r="L13">
        <v>28</v>
      </c>
      <c r="M13" t="s">
        <v>24</v>
      </c>
      <c r="N13" t="str" cm="1">
        <f t="array" ref="N13">_xlfn.IFS(_xlfn.SINGLE(calls[Duration])&lt;30,"UNDER 30 MINS",_xlfn.SINGLE(calls[Duration])&lt;60,"30 T0 60 MINS",_xlfn.SINGLE(calls[Duration])&lt;120,"1 TO 2 HRS",TRUE,"ABOVE 2 HRS")</f>
        <v>ABOVE 2 HRS</v>
      </c>
      <c r="Q13" s="2" t="s">
        <v>28</v>
      </c>
      <c r="R13" s="2" t="s">
        <v>34</v>
      </c>
      <c r="S13" s="2">
        <v>30</v>
      </c>
      <c r="T13" s="2" t="s">
        <v>24</v>
      </c>
    </row>
    <row r="14" spans="1:20" x14ac:dyDescent="0.3">
      <c r="A14" t="s">
        <v>47</v>
      </c>
      <c r="B14" t="s">
        <v>19</v>
      </c>
      <c r="C14">
        <v>98</v>
      </c>
      <c r="D14" t="s">
        <v>23</v>
      </c>
      <c r="E14" s="1">
        <v>44930</v>
      </c>
      <c r="F14">
        <v>108</v>
      </c>
      <c r="G14">
        <v>3.5</v>
      </c>
      <c r="H14" t="str">
        <f>TEXT(calls[[#This Row],[Date of Call]],"DDDD")</f>
        <v>Wednesday</v>
      </c>
      <c r="I14">
        <f>ROUND(calls[[#This Row],[Satisfaction Rating]],0)</f>
        <v>4</v>
      </c>
      <c r="J14" t="s">
        <v>45</v>
      </c>
      <c r="K14" t="s">
        <v>34</v>
      </c>
      <c r="L14">
        <v>37</v>
      </c>
      <c r="M14" t="s">
        <v>20</v>
      </c>
      <c r="N14" t="str" cm="1">
        <f t="array" ref="N14">_xlfn.IFS(_xlfn.SINGLE(calls[Duration])&lt;30,"UNDER 30 MINS",_xlfn.SINGLE(calls[Duration])&lt;60,"30 T0 60 MINS",_xlfn.SINGLE(calls[Duration])&lt;120,"1 TO 2 HRS",TRUE,"ABOVE 2 HRS")</f>
        <v>1 TO 2 HRS</v>
      </c>
      <c r="Q14" s="3" t="s">
        <v>46</v>
      </c>
      <c r="R14" s="3" t="s">
        <v>34</v>
      </c>
      <c r="S14" s="3">
        <v>28</v>
      </c>
      <c r="T14" s="3" t="s">
        <v>24</v>
      </c>
    </row>
    <row r="15" spans="1:20" x14ac:dyDescent="0.3">
      <c r="A15" t="s">
        <v>48</v>
      </c>
      <c r="B15" t="s">
        <v>41</v>
      </c>
      <c r="C15">
        <v>139</v>
      </c>
      <c r="D15" t="s">
        <v>23</v>
      </c>
      <c r="E15" s="1">
        <v>44930</v>
      </c>
      <c r="F15">
        <v>96</v>
      </c>
      <c r="G15">
        <v>4</v>
      </c>
      <c r="H15" t="str">
        <f>TEXT(calls[[#This Row],[Date of Call]],"DDDD")</f>
        <v>Wednesday</v>
      </c>
      <c r="I15">
        <f>ROUND(calls[[#This Row],[Satisfaction Rating]],0)</f>
        <v>4</v>
      </c>
      <c r="J15" t="s">
        <v>26</v>
      </c>
      <c r="K15" t="s">
        <v>34</v>
      </c>
      <c r="L15">
        <v>38</v>
      </c>
      <c r="M15" t="s">
        <v>16</v>
      </c>
      <c r="N15" t="str" cm="1">
        <f t="array" ref="N15">_xlfn.IFS(_xlfn.SINGLE(calls[Duration])&lt;30,"UNDER 30 MINS",_xlfn.SINGLE(calls[Duration])&lt;60,"30 T0 60 MINS",_xlfn.SINGLE(calls[Duration])&lt;120,"1 TO 2 HRS",TRUE,"ABOVE 2 HRS")</f>
        <v>ABOVE 2 HRS</v>
      </c>
      <c r="Q15" s="2" t="s">
        <v>45</v>
      </c>
      <c r="R15" s="2" t="s">
        <v>34</v>
      </c>
      <c r="S15" s="2">
        <v>37</v>
      </c>
      <c r="T15" s="2" t="s">
        <v>20</v>
      </c>
    </row>
    <row r="16" spans="1:20" x14ac:dyDescent="0.3">
      <c r="A16" t="s">
        <v>49</v>
      </c>
      <c r="B16" t="s">
        <v>45</v>
      </c>
      <c r="C16">
        <v>48</v>
      </c>
      <c r="D16" t="s">
        <v>29</v>
      </c>
      <c r="E16" s="1">
        <v>44930</v>
      </c>
      <c r="F16">
        <v>68</v>
      </c>
      <c r="G16">
        <v>4.9000000000000004</v>
      </c>
      <c r="H16" t="str">
        <f>TEXT(calls[[#This Row],[Date of Call]],"DDDD")</f>
        <v>Wednesday</v>
      </c>
      <c r="I16">
        <f>ROUND(calls[[#This Row],[Satisfaction Rating]],0)</f>
        <v>5</v>
      </c>
      <c r="J16" t="s">
        <v>50</v>
      </c>
      <c r="K16" t="s">
        <v>34</v>
      </c>
      <c r="L16">
        <v>43</v>
      </c>
      <c r="M16" t="s">
        <v>20</v>
      </c>
      <c r="N16" t="str" cm="1">
        <f t="array" ref="N16">_xlfn.IFS(_xlfn.SINGLE(calls[Duration])&lt;30,"UNDER 30 MINS",_xlfn.SINGLE(calls[Duration])&lt;60,"30 T0 60 MINS",_xlfn.SINGLE(calls[Duration])&lt;120,"1 TO 2 HRS",TRUE,"ABOVE 2 HRS")</f>
        <v>30 T0 60 MINS</v>
      </c>
      <c r="Q16" s="3" t="s">
        <v>26</v>
      </c>
      <c r="R16" s="3" t="s">
        <v>34</v>
      </c>
      <c r="S16" s="3">
        <v>38</v>
      </c>
      <c r="T16" s="3" t="s">
        <v>16</v>
      </c>
    </row>
    <row r="17" spans="1:20" x14ac:dyDescent="0.3">
      <c r="A17" t="s">
        <v>51</v>
      </c>
      <c r="B17" t="s">
        <v>41</v>
      </c>
      <c r="C17">
        <v>176</v>
      </c>
      <c r="D17" t="s">
        <v>13</v>
      </c>
      <c r="E17" s="1">
        <v>44931</v>
      </c>
      <c r="F17">
        <v>24</v>
      </c>
      <c r="G17">
        <v>4.8</v>
      </c>
      <c r="H17" t="str">
        <f>TEXT(calls[[#This Row],[Date of Call]],"DDDD")</f>
        <v>Thursday</v>
      </c>
      <c r="I17">
        <f>ROUND(calls[[#This Row],[Satisfaction Rating]],0)</f>
        <v>5</v>
      </c>
      <c r="N17" t="str" cm="1">
        <f t="array" ref="N17">_xlfn.IFS(_xlfn.SINGLE(calls[Duration])&lt;30,"UNDER 30 MINS",_xlfn.SINGLE(calls[Duration])&lt;60,"30 T0 60 MINS",_xlfn.SINGLE(calls[Duration])&lt;120,"1 TO 2 HRS",TRUE,"ABOVE 2 HRS")</f>
        <v>ABOVE 2 HRS</v>
      </c>
      <c r="Q17" s="5" t="s">
        <v>50</v>
      </c>
      <c r="R17" s="5" t="s">
        <v>34</v>
      </c>
      <c r="S17" s="5">
        <v>43</v>
      </c>
      <c r="T17" s="5" t="s">
        <v>20</v>
      </c>
    </row>
    <row r="18" spans="1:20" x14ac:dyDescent="0.3">
      <c r="A18" t="s">
        <v>52</v>
      </c>
      <c r="B18" t="s">
        <v>41</v>
      </c>
      <c r="C18">
        <v>99</v>
      </c>
      <c r="D18" t="s">
        <v>29</v>
      </c>
      <c r="E18" s="1">
        <v>44931</v>
      </c>
      <c r="F18">
        <v>195</v>
      </c>
      <c r="G18">
        <v>3.9</v>
      </c>
      <c r="H18" t="str">
        <f>TEXT(calls[[#This Row],[Date of Call]],"DDDD")</f>
        <v>Thursday</v>
      </c>
      <c r="I18">
        <f>ROUND(calls[[#This Row],[Satisfaction Rating]],0)</f>
        <v>4</v>
      </c>
      <c r="N18" t="str" cm="1">
        <f t="array" ref="N18">_xlfn.IFS(_xlfn.SINGLE(calls[Duration])&lt;30,"UNDER 30 MINS",_xlfn.SINGLE(calls[Duration])&lt;60,"30 T0 60 MINS",_xlfn.SINGLE(calls[Duration])&lt;120,"1 TO 2 HRS",TRUE,"ABOVE 2 HRS")</f>
        <v>1 TO 2 HRS</v>
      </c>
    </row>
    <row r="19" spans="1:20" x14ac:dyDescent="0.3">
      <c r="A19" t="s">
        <v>53</v>
      </c>
      <c r="B19" t="s">
        <v>39</v>
      </c>
      <c r="C19">
        <v>28</v>
      </c>
      <c r="D19" t="s">
        <v>42</v>
      </c>
      <c r="E19" s="1">
        <v>44931</v>
      </c>
      <c r="F19">
        <v>28</v>
      </c>
      <c r="G19">
        <v>3.8</v>
      </c>
      <c r="H19" t="str">
        <f>TEXT(calls[[#This Row],[Date of Call]],"DDDD")</f>
        <v>Thursday</v>
      </c>
      <c r="I19">
        <f>ROUND(calls[[#This Row],[Satisfaction Rating]],0)</f>
        <v>4</v>
      </c>
      <c r="N19" t="str" cm="1">
        <f t="array" ref="N19">_xlfn.IFS(_xlfn.SINGLE(calls[Duration])&lt;30,"UNDER 30 MINS",_xlfn.SINGLE(calls[Duration])&lt;60,"30 T0 60 MINS",_xlfn.SINGLE(calls[Duration])&lt;120,"1 TO 2 HRS",TRUE,"ABOVE 2 HRS")</f>
        <v>UNDER 30 MINS</v>
      </c>
    </row>
    <row r="20" spans="1:20" x14ac:dyDescent="0.3">
      <c r="A20" t="s">
        <v>54</v>
      </c>
      <c r="B20" t="s">
        <v>33</v>
      </c>
      <c r="C20">
        <v>54</v>
      </c>
      <c r="D20" t="s">
        <v>23</v>
      </c>
      <c r="E20" s="1">
        <v>44931</v>
      </c>
      <c r="F20">
        <v>170</v>
      </c>
      <c r="G20">
        <v>4.3</v>
      </c>
      <c r="H20" t="str">
        <f>TEXT(calls[[#This Row],[Date of Call]],"DDDD")</f>
        <v>Thursday</v>
      </c>
      <c r="I20">
        <f>ROUND(calls[[#This Row],[Satisfaction Rating]],0)</f>
        <v>4</v>
      </c>
      <c r="N20" t="str" cm="1">
        <f t="array" ref="N20">_xlfn.IFS(_xlfn.SINGLE(calls[Duration])&lt;30,"UNDER 30 MINS",_xlfn.SINGLE(calls[Duration])&lt;60,"30 T0 60 MINS",_xlfn.SINGLE(calls[Duration])&lt;120,"1 TO 2 HRS",TRUE,"ABOVE 2 HRS")</f>
        <v>30 T0 60 MINS</v>
      </c>
    </row>
    <row r="21" spans="1:20" x14ac:dyDescent="0.3">
      <c r="A21" t="s">
        <v>55</v>
      </c>
      <c r="B21" t="s">
        <v>31</v>
      </c>
      <c r="C21">
        <v>48</v>
      </c>
      <c r="D21" t="s">
        <v>13</v>
      </c>
      <c r="E21" s="1">
        <v>44932</v>
      </c>
      <c r="F21">
        <v>30</v>
      </c>
      <c r="G21">
        <v>4.4000000000000004</v>
      </c>
      <c r="H21" t="str">
        <f>TEXT(calls[[#This Row],[Date of Call]],"DDDD")</f>
        <v>Friday</v>
      </c>
      <c r="I21">
        <f>ROUND(calls[[#This Row],[Satisfaction Rating]],0)</f>
        <v>4</v>
      </c>
      <c r="N21" t="str" cm="1">
        <f t="array" ref="N21">_xlfn.IFS(_xlfn.SINGLE(calls[Duration])&lt;30,"UNDER 30 MINS",_xlfn.SINGLE(calls[Duration])&lt;60,"30 T0 60 MINS",_xlfn.SINGLE(calls[Duration])&lt;120,"1 TO 2 HRS",TRUE,"ABOVE 2 HRS")</f>
        <v>30 T0 60 MINS</v>
      </c>
    </row>
    <row r="22" spans="1:20" x14ac:dyDescent="0.3">
      <c r="A22" t="s">
        <v>56</v>
      </c>
      <c r="B22" t="s">
        <v>18</v>
      </c>
      <c r="C22">
        <v>128</v>
      </c>
      <c r="D22" t="s">
        <v>13</v>
      </c>
      <c r="E22" s="1">
        <v>44932</v>
      </c>
      <c r="F22">
        <v>72</v>
      </c>
      <c r="G22">
        <v>5</v>
      </c>
      <c r="H22" t="str">
        <f>TEXT(calls[[#This Row],[Date of Call]],"DDDD")</f>
        <v>Friday</v>
      </c>
      <c r="I22">
        <f>ROUND(calls[[#This Row],[Satisfaction Rating]],0)</f>
        <v>5</v>
      </c>
      <c r="N22" t="str" cm="1">
        <f t="array" ref="N22">_xlfn.IFS(_xlfn.SINGLE(calls[Duration])&lt;30,"UNDER 30 MINS",_xlfn.SINGLE(calls[Duration])&lt;60,"30 T0 60 MINS",_xlfn.SINGLE(calls[Duration])&lt;120,"1 TO 2 HRS",TRUE,"ABOVE 2 HRS")</f>
        <v>ABOVE 2 HRS</v>
      </c>
    </row>
    <row r="23" spans="1:20" x14ac:dyDescent="0.3">
      <c r="A23" t="s">
        <v>57</v>
      </c>
      <c r="B23" t="s">
        <v>18</v>
      </c>
      <c r="C23">
        <v>38</v>
      </c>
      <c r="D23" t="s">
        <v>36</v>
      </c>
      <c r="E23" s="1">
        <v>44933</v>
      </c>
      <c r="F23">
        <v>92</v>
      </c>
      <c r="G23">
        <v>4.9000000000000004</v>
      </c>
      <c r="H23" t="str">
        <f>TEXT(calls[[#This Row],[Date of Call]],"DDDD")</f>
        <v>Saturday</v>
      </c>
      <c r="I23">
        <f>ROUND(calls[[#This Row],[Satisfaction Rating]],0)</f>
        <v>5</v>
      </c>
      <c r="N23" t="str" cm="1">
        <f t="array" ref="N23">_xlfn.IFS(_xlfn.SINGLE(calls[Duration])&lt;30,"UNDER 30 MINS",_xlfn.SINGLE(calls[Duration])&lt;60,"30 T0 60 MINS",_xlfn.SINGLE(calls[Duration])&lt;120,"1 TO 2 HRS",TRUE,"ABOVE 2 HRS")</f>
        <v>30 T0 60 MINS</v>
      </c>
    </row>
    <row r="24" spans="1:20" x14ac:dyDescent="0.3">
      <c r="A24" t="s">
        <v>58</v>
      </c>
      <c r="B24" t="s">
        <v>12</v>
      </c>
      <c r="C24">
        <v>67</v>
      </c>
      <c r="D24" t="s">
        <v>36</v>
      </c>
      <c r="E24" s="1">
        <v>44934</v>
      </c>
      <c r="F24">
        <v>165</v>
      </c>
      <c r="G24">
        <v>4.5</v>
      </c>
      <c r="H24" t="str">
        <f>TEXT(calls[[#This Row],[Date of Call]],"DDDD")</f>
        <v>Sunday</v>
      </c>
      <c r="I24">
        <f>ROUND(calls[[#This Row],[Satisfaction Rating]],0)</f>
        <v>5</v>
      </c>
      <c r="N24" t="str" cm="1">
        <f t="array" ref="N24">_xlfn.IFS(_xlfn.SINGLE(calls[Duration])&lt;30,"UNDER 30 MINS",_xlfn.SINGLE(calls[Duration])&lt;60,"30 T0 60 MINS",_xlfn.SINGLE(calls[Duration])&lt;120,"1 TO 2 HRS",TRUE,"ABOVE 2 HRS")</f>
        <v>1 TO 2 HRS</v>
      </c>
    </row>
    <row r="25" spans="1:20" x14ac:dyDescent="0.3">
      <c r="A25" t="s">
        <v>59</v>
      </c>
      <c r="B25" t="s">
        <v>50</v>
      </c>
      <c r="C25">
        <v>58</v>
      </c>
      <c r="D25" t="s">
        <v>23</v>
      </c>
      <c r="E25" s="1">
        <v>44934</v>
      </c>
      <c r="F25">
        <v>140</v>
      </c>
      <c r="G25">
        <v>2.1</v>
      </c>
      <c r="H25" t="str">
        <f>TEXT(calls[[#This Row],[Date of Call]],"DDDD")</f>
        <v>Sunday</v>
      </c>
      <c r="I25">
        <f>ROUND(calls[[#This Row],[Satisfaction Rating]],0)</f>
        <v>2</v>
      </c>
      <c r="N25" t="str" cm="1">
        <f t="array" ref="N25">_xlfn.IFS(_xlfn.SINGLE(calls[Duration])&lt;30,"UNDER 30 MINS",_xlfn.SINGLE(calls[Duration])&lt;60,"30 T0 60 MINS",_xlfn.SINGLE(calls[Duration])&lt;120,"1 TO 2 HRS",TRUE,"ABOVE 2 HRS")</f>
        <v>30 T0 60 MINS</v>
      </c>
    </row>
    <row r="26" spans="1:20" x14ac:dyDescent="0.3">
      <c r="A26" t="s">
        <v>60</v>
      </c>
      <c r="B26" t="s">
        <v>41</v>
      </c>
      <c r="C26">
        <v>54</v>
      </c>
      <c r="D26" t="s">
        <v>29</v>
      </c>
      <c r="E26" s="1">
        <v>44934</v>
      </c>
      <c r="F26">
        <v>111</v>
      </c>
      <c r="G26">
        <v>3.3</v>
      </c>
      <c r="H26" t="str">
        <f>TEXT(calls[[#This Row],[Date of Call]],"DDDD")</f>
        <v>Sunday</v>
      </c>
      <c r="I26">
        <f>ROUND(calls[[#This Row],[Satisfaction Rating]],0)</f>
        <v>3</v>
      </c>
      <c r="N26" t="str" cm="1">
        <f t="array" ref="N26">_xlfn.IFS(_xlfn.SINGLE(calls[Duration])&lt;30,"UNDER 30 MINS",_xlfn.SINGLE(calls[Duration])&lt;60,"30 T0 60 MINS",_xlfn.SINGLE(calls[Duration])&lt;120,"1 TO 2 HRS",TRUE,"ABOVE 2 HRS")</f>
        <v>30 T0 60 MINS</v>
      </c>
    </row>
    <row r="27" spans="1:20" x14ac:dyDescent="0.3">
      <c r="A27" t="s">
        <v>61</v>
      </c>
      <c r="B27" t="s">
        <v>46</v>
      </c>
      <c r="C27">
        <v>28</v>
      </c>
      <c r="D27" t="s">
        <v>13</v>
      </c>
      <c r="E27" s="1">
        <v>44935</v>
      </c>
      <c r="F27">
        <v>63</v>
      </c>
      <c r="G27">
        <v>4.0999999999999996</v>
      </c>
      <c r="H27" t="str">
        <f>TEXT(calls[[#This Row],[Date of Call]],"DDDD")</f>
        <v>Monday</v>
      </c>
      <c r="I27">
        <f>ROUND(calls[[#This Row],[Satisfaction Rating]],0)</f>
        <v>4</v>
      </c>
      <c r="N27" t="str" cm="1">
        <f t="array" ref="N27">_xlfn.IFS(_xlfn.SINGLE(calls[Duration])&lt;30,"UNDER 30 MINS",_xlfn.SINGLE(calls[Duration])&lt;60,"30 T0 60 MINS",_xlfn.SINGLE(calls[Duration])&lt;120,"1 TO 2 HRS",TRUE,"ABOVE 2 HRS")</f>
        <v>UNDER 30 MINS</v>
      </c>
    </row>
    <row r="28" spans="1:20" x14ac:dyDescent="0.3">
      <c r="A28" t="s">
        <v>62</v>
      </c>
      <c r="B28" t="s">
        <v>19</v>
      </c>
      <c r="C28">
        <v>73</v>
      </c>
      <c r="D28" t="s">
        <v>13</v>
      </c>
      <c r="E28" s="1">
        <v>44935</v>
      </c>
      <c r="F28">
        <v>80</v>
      </c>
      <c r="G28">
        <v>4.2</v>
      </c>
      <c r="H28" t="str">
        <f>TEXT(calls[[#This Row],[Date of Call]],"DDDD")</f>
        <v>Monday</v>
      </c>
      <c r="I28">
        <f>ROUND(calls[[#This Row],[Satisfaction Rating]],0)</f>
        <v>4</v>
      </c>
      <c r="N28" t="str" cm="1">
        <f t="array" ref="N28">_xlfn.IFS(_xlfn.SINGLE(calls[Duration])&lt;30,"UNDER 30 MINS",_xlfn.SINGLE(calls[Duration])&lt;60,"30 T0 60 MINS",_xlfn.SINGLE(calls[Duration])&lt;120,"1 TO 2 HRS",TRUE,"ABOVE 2 HRS")</f>
        <v>1 TO 2 HRS</v>
      </c>
    </row>
    <row r="29" spans="1:20" x14ac:dyDescent="0.3">
      <c r="A29" t="s">
        <v>63</v>
      </c>
      <c r="B29" t="s">
        <v>28</v>
      </c>
      <c r="C29">
        <v>81</v>
      </c>
      <c r="D29" t="s">
        <v>13</v>
      </c>
      <c r="E29" s="1">
        <v>44936</v>
      </c>
      <c r="F29">
        <v>50</v>
      </c>
      <c r="G29">
        <v>4.5999999999999996</v>
      </c>
      <c r="H29" t="str">
        <f>TEXT(calls[[#This Row],[Date of Call]],"DDDD")</f>
        <v>Tuesday</v>
      </c>
      <c r="I29">
        <f>ROUND(calls[[#This Row],[Satisfaction Rating]],0)</f>
        <v>5</v>
      </c>
      <c r="N29" t="str" cm="1">
        <f t="array" ref="N29">_xlfn.IFS(_xlfn.SINGLE(calls[Duration])&lt;30,"UNDER 30 MINS",_xlfn.SINGLE(calls[Duration])&lt;60,"30 T0 60 MINS",_xlfn.SINGLE(calls[Duration])&lt;120,"1 TO 2 HRS",TRUE,"ABOVE 2 HRS")</f>
        <v>1 TO 2 HRS</v>
      </c>
    </row>
    <row r="30" spans="1:20" x14ac:dyDescent="0.3">
      <c r="A30" t="s">
        <v>64</v>
      </c>
      <c r="B30" t="s">
        <v>39</v>
      </c>
      <c r="C30">
        <v>31</v>
      </c>
      <c r="D30" t="s">
        <v>36</v>
      </c>
      <c r="E30" s="1">
        <v>44936</v>
      </c>
      <c r="F30">
        <v>123</v>
      </c>
      <c r="G30">
        <v>2.9</v>
      </c>
      <c r="H30" t="str">
        <f>TEXT(calls[[#This Row],[Date of Call]],"DDDD")</f>
        <v>Tuesday</v>
      </c>
      <c r="I30">
        <f>ROUND(calls[[#This Row],[Satisfaction Rating]],0)</f>
        <v>3</v>
      </c>
      <c r="N30" t="str" cm="1">
        <f t="array" ref="N30">_xlfn.IFS(_xlfn.SINGLE(calls[Duration])&lt;30,"UNDER 30 MINS",_xlfn.SINGLE(calls[Duration])&lt;60,"30 T0 60 MINS",_xlfn.SINGLE(calls[Duration])&lt;120,"1 TO 2 HRS",TRUE,"ABOVE 2 HRS")</f>
        <v>30 T0 60 MINS</v>
      </c>
    </row>
    <row r="31" spans="1:20" x14ac:dyDescent="0.3">
      <c r="A31" t="s">
        <v>65</v>
      </c>
      <c r="B31" t="s">
        <v>50</v>
      </c>
      <c r="C31">
        <v>155</v>
      </c>
      <c r="D31" t="s">
        <v>29</v>
      </c>
      <c r="E31" s="1">
        <v>44936</v>
      </c>
      <c r="F31">
        <v>110</v>
      </c>
      <c r="G31">
        <v>4.8</v>
      </c>
      <c r="H31" t="str">
        <f>TEXT(calls[[#This Row],[Date of Call]],"DDDD")</f>
        <v>Tuesday</v>
      </c>
      <c r="I31">
        <f>ROUND(calls[[#This Row],[Satisfaction Rating]],0)</f>
        <v>5</v>
      </c>
      <c r="N31" t="str" cm="1">
        <f t="array" ref="N31">_xlfn.IFS(_xlfn.SINGLE(calls[Duration])&lt;30,"UNDER 30 MINS",_xlfn.SINGLE(calls[Duration])&lt;60,"30 T0 60 MINS",_xlfn.SINGLE(calls[Duration])&lt;120,"1 TO 2 HRS",TRUE,"ABOVE 2 HRS")</f>
        <v>ABOVE 2 HRS</v>
      </c>
    </row>
    <row r="32" spans="1:20" x14ac:dyDescent="0.3">
      <c r="A32" t="s">
        <v>66</v>
      </c>
      <c r="B32" t="s">
        <v>39</v>
      </c>
      <c r="C32">
        <v>80</v>
      </c>
      <c r="D32" t="s">
        <v>13</v>
      </c>
      <c r="E32" s="1">
        <v>44936</v>
      </c>
      <c r="F32">
        <v>140</v>
      </c>
      <c r="G32">
        <v>4.2</v>
      </c>
      <c r="H32" t="str">
        <f>TEXT(calls[[#This Row],[Date of Call]],"DDDD")</f>
        <v>Tuesday</v>
      </c>
      <c r="I32">
        <f>ROUND(calls[[#This Row],[Satisfaction Rating]],0)</f>
        <v>4</v>
      </c>
      <c r="N32" t="str" cm="1">
        <f t="array" ref="N32">_xlfn.IFS(_xlfn.SINGLE(calls[Duration])&lt;30,"UNDER 30 MINS",_xlfn.SINGLE(calls[Duration])&lt;60,"30 T0 60 MINS",_xlfn.SINGLE(calls[Duration])&lt;120,"1 TO 2 HRS",TRUE,"ABOVE 2 HRS")</f>
        <v>1 TO 2 HRS</v>
      </c>
    </row>
    <row r="33" spans="1:14" x14ac:dyDescent="0.3">
      <c r="A33" t="s">
        <v>67</v>
      </c>
      <c r="B33" t="s">
        <v>28</v>
      </c>
      <c r="C33">
        <v>82</v>
      </c>
      <c r="D33" t="s">
        <v>13</v>
      </c>
      <c r="E33" s="1">
        <v>44938</v>
      </c>
      <c r="F33">
        <v>42</v>
      </c>
      <c r="G33">
        <v>3.7</v>
      </c>
      <c r="H33" t="str">
        <f>TEXT(calls[[#This Row],[Date of Call]],"DDDD")</f>
        <v>Thursday</v>
      </c>
      <c r="I33">
        <f>ROUND(calls[[#This Row],[Satisfaction Rating]],0)</f>
        <v>4</v>
      </c>
      <c r="N33" t="str" cm="1">
        <f t="array" ref="N33">_xlfn.IFS(_xlfn.SINGLE(calls[Duration])&lt;30,"UNDER 30 MINS",_xlfn.SINGLE(calls[Duration])&lt;60,"30 T0 60 MINS",_xlfn.SINGLE(calls[Duration])&lt;120,"1 TO 2 HRS",TRUE,"ABOVE 2 HRS")</f>
        <v>1 TO 2 HRS</v>
      </c>
    </row>
    <row r="34" spans="1:14" x14ac:dyDescent="0.3">
      <c r="A34" t="s">
        <v>68</v>
      </c>
      <c r="B34" t="s">
        <v>28</v>
      </c>
      <c r="C34">
        <v>29</v>
      </c>
      <c r="D34" t="s">
        <v>29</v>
      </c>
      <c r="E34" s="1">
        <v>44938</v>
      </c>
      <c r="F34">
        <v>170</v>
      </c>
      <c r="G34">
        <v>5</v>
      </c>
      <c r="H34" t="str">
        <f>TEXT(calls[[#This Row],[Date of Call]],"DDDD")</f>
        <v>Thursday</v>
      </c>
      <c r="I34">
        <f>ROUND(calls[[#This Row],[Satisfaction Rating]],0)</f>
        <v>5</v>
      </c>
      <c r="N34" t="str" cm="1">
        <f t="array" ref="N34">_xlfn.IFS(_xlfn.SINGLE(calls[Duration])&lt;30,"UNDER 30 MINS",_xlfn.SINGLE(calls[Duration])&lt;60,"30 T0 60 MINS",_xlfn.SINGLE(calls[Duration])&lt;120,"1 TO 2 HRS",TRUE,"ABOVE 2 HRS")</f>
        <v>UNDER 30 MINS</v>
      </c>
    </row>
    <row r="35" spans="1:14" x14ac:dyDescent="0.3">
      <c r="A35" t="s">
        <v>69</v>
      </c>
      <c r="B35" t="s">
        <v>31</v>
      </c>
      <c r="C35">
        <v>160</v>
      </c>
      <c r="D35" t="s">
        <v>23</v>
      </c>
      <c r="E35" s="1">
        <v>44940</v>
      </c>
      <c r="F35">
        <v>105</v>
      </c>
      <c r="G35">
        <v>5</v>
      </c>
      <c r="H35" t="str">
        <f>TEXT(calls[[#This Row],[Date of Call]],"DDDD")</f>
        <v>Saturday</v>
      </c>
      <c r="I35">
        <f>ROUND(calls[[#This Row],[Satisfaction Rating]],0)</f>
        <v>5</v>
      </c>
      <c r="N35" t="str" cm="1">
        <f t="array" ref="N35">_xlfn.IFS(_xlfn.SINGLE(calls[Duration])&lt;30,"UNDER 30 MINS",_xlfn.SINGLE(calls[Duration])&lt;60,"30 T0 60 MINS",_xlfn.SINGLE(calls[Duration])&lt;120,"1 TO 2 HRS",TRUE,"ABOVE 2 HRS")</f>
        <v>ABOVE 2 HRS</v>
      </c>
    </row>
    <row r="36" spans="1:14" x14ac:dyDescent="0.3">
      <c r="A36" t="s">
        <v>70</v>
      </c>
      <c r="B36" t="s">
        <v>14</v>
      </c>
      <c r="C36">
        <v>105</v>
      </c>
      <c r="D36" t="s">
        <v>13</v>
      </c>
      <c r="E36" s="1">
        <v>44941</v>
      </c>
      <c r="F36">
        <v>125</v>
      </c>
      <c r="G36">
        <v>4.8</v>
      </c>
      <c r="H36" t="str">
        <f>TEXT(calls[[#This Row],[Date of Call]],"DDDD")</f>
        <v>Sunday</v>
      </c>
      <c r="I36">
        <f>ROUND(calls[[#This Row],[Satisfaction Rating]],0)</f>
        <v>5</v>
      </c>
      <c r="N36" t="str" cm="1">
        <f t="array" ref="N36">_xlfn.IFS(_xlfn.SINGLE(calls[Duration])&lt;30,"UNDER 30 MINS",_xlfn.SINGLE(calls[Duration])&lt;60,"30 T0 60 MINS",_xlfn.SINGLE(calls[Duration])&lt;120,"1 TO 2 HRS",TRUE,"ABOVE 2 HRS")</f>
        <v>1 TO 2 HRS</v>
      </c>
    </row>
    <row r="37" spans="1:14" x14ac:dyDescent="0.3">
      <c r="A37" t="s">
        <v>71</v>
      </c>
      <c r="B37" t="s">
        <v>39</v>
      </c>
      <c r="C37">
        <v>75</v>
      </c>
      <c r="D37" t="s">
        <v>42</v>
      </c>
      <c r="E37" s="1">
        <v>44941</v>
      </c>
      <c r="F37">
        <v>26</v>
      </c>
      <c r="G37">
        <v>2.4</v>
      </c>
      <c r="H37" t="str">
        <f>TEXT(calls[[#This Row],[Date of Call]],"DDDD")</f>
        <v>Sunday</v>
      </c>
      <c r="I37">
        <f>ROUND(calls[[#This Row],[Satisfaction Rating]],0)</f>
        <v>2</v>
      </c>
      <c r="N37" t="str" cm="1">
        <f t="array" ref="N37">_xlfn.IFS(_xlfn.SINGLE(calls[Duration])&lt;30,"UNDER 30 MINS",_xlfn.SINGLE(calls[Duration])&lt;60,"30 T0 60 MINS",_xlfn.SINGLE(calls[Duration])&lt;120,"1 TO 2 HRS",TRUE,"ABOVE 2 HRS")</f>
        <v>1 TO 2 HRS</v>
      </c>
    </row>
    <row r="38" spans="1:14" x14ac:dyDescent="0.3">
      <c r="A38" t="s">
        <v>72</v>
      </c>
      <c r="B38" t="s">
        <v>50</v>
      </c>
      <c r="C38">
        <v>94</v>
      </c>
      <c r="D38" t="s">
        <v>42</v>
      </c>
      <c r="E38" s="1">
        <v>44942</v>
      </c>
      <c r="F38">
        <v>120</v>
      </c>
      <c r="G38">
        <v>3.1</v>
      </c>
      <c r="H38" t="str">
        <f>TEXT(calls[[#This Row],[Date of Call]],"DDDD")</f>
        <v>Monday</v>
      </c>
      <c r="I38">
        <f>ROUND(calls[[#This Row],[Satisfaction Rating]],0)</f>
        <v>3</v>
      </c>
      <c r="N38" t="str" cm="1">
        <f t="array" ref="N38">_xlfn.IFS(_xlfn.SINGLE(calls[Duration])&lt;30,"UNDER 30 MINS",_xlfn.SINGLE(calls[Duration])&lt;60,"30 T0 60 MINS",_xlfn.SINGLE(calls[Duration])&lt;120,"1 TO 2 HRS",TRUE,"ABOVE 2 HRS")</f>
        <v>1 TO 2 HRS</v>
      </c>
    </row>
    <row r="39" spans="1:14" x14ac:dyDescent="0.3">
      <c r="A39" t="s">
        <v>73</v>
      </c>
      <c r="B39" t="s">
        <v>18</v>
      </c>
      <c r="C39">
        <v>90</v>
      </c>
      <c r="D39" t="s">
        <v>23</v>
      </c>
      <c r="E39" s="1">
        <v>44942</v>
      </c>
      <c r="F39">
        <v>132</v>
      </c>
      <c r="G39">
        <v>3.2</v>
      </c>
      <c r="H39" t="str">
        <f>TEXT(calls[[#This Row],[Date of Call]],"DDDD")</f>
        <v>Monday</v>
      </c>
      <c r="I39">
        <f>ROUND(calls[[#This Row],[Satisfaction Rating]],0)</f>
        <v>3</v>
      </c>
      <c r="N39" t="str" cm="1">
        <f t="array" ref="N39">_xlfn.IFS(_xlfn.SINGLE(calls[Duration])&lt;30,"UNDER 30 MINS",_xlfn.SINGLE(calls[Duration])&lt;60,"30 T0 60 MINS",_xlfn.SINGLE(calls[Duration])&lt;120,"1 TO 2 HRS",TRUE,"ABOVE 2 HRS")</f>
        <v>1 TO 2 HRS</v>
      </c>
    </row>
    <row r="40" spans="1:14" x14ac:dyDescent="0.3">
      <c r="A40" t="s">
        <v>74</v>
      </c>
      <c r="B40" t="s">
        <v>50</v>
      </c>
      <c r="C40">
        <v>81</v>
      </c>
      <c r="D40" t="s">
        <v>36</v>
      </c>
      <c r="E40" s="1">
        <v>44943</v>
      </c>
      <c r="F40">
        <v>86</v>
      </c>
      <c r="G40">
        <v>2.4</v>
      </c>
      <c r="H40" t="str">
        <f>TEXT(calls[[#This Row],[Date of Call]],"DDDD")</f>
        <v>Tuesday</v>
      </c>
      <c r="I40">
        <f>ROUND(calls[[#This Row],[Satisfaction Rating]],0)</f>
        <v>2</v>
      </c>
      <c r="N40" t="str" cm="1">
        <f t="array" ref="N40">_xlfn.IFS(_xlfn.SINGLE(calls[Duration])&lt;30,"UNDER 30 MINS",_xlfn.SINGLE(calls[Duration])&lt;60,"30 T0 60 MINS",_xlfn.SINGLE(calls[Duration])&lt;120,"1 TO 2 HRS",TRUE,"ABOVE 2 HRS")</f>
        <v>1 TO 2 HRS</v>
      </c>
    </row>
    <row r="41" spans="1:14" x14ac:dyDescent="0.3">
      <c r="A41" t="s">
        <v>75</v>
      </c>
      <c r="B41" t="s">
        <v>39</v>
      </c>
      <c r="C41">
        <v>106</v>
      </c>
      <c r="D41" t="s">
        <v>13</v>
      </c>
      <c r="E41" s="1">
        <v>44943</v>
      </c>
      <c r="F41">
        <v>108</v>
      </c>
      <c r="G41">
        <v>5</v>
      </c>
      <c r="H41" t="str">
        <f>TEXT(calls[[#This Row],[Date of Call]],"DDDD")</f>
        <v>Tuesday</v>
      </c>
      <c r="I41">
        <f>ROUND(calls[[#This Row],[Satisfaction Rating]],0)</f>
        <v>5</v>
      </c>
      <c r="N41" t="str" cm="1">
        <f t="array" ref="N41">_xlfn.IFS(_xlfn.SINGLE(calls[Duration])&lt;30,"UNDER 30 MINS",_xlfn.SINGLE(calls[Duration])&lt;60,"30 T0 60 MINS",_xlfn.SINGLE(calls[Duration])&lt;120,"1 TO 2 HRS",TRUE,"ABOVE 2 HRS")</f>
        <v>1 TO 2 HRS</v>
      </c>
    </row>
    <row r="42" spans="1:14" x14ac:dyDescent="0.3">
      <c r="A42" t="s">
        <v>76</v>
      </c>
      <c r="B42" t="s">
        <v>18</v>
      </c>
      <c r="C42">
        <v>74</v>
      </c>
      <c r="D42" t="s">
        <v>36</v>
      </c>
      <c r="E42" s="1">
        <v>44943</v>
      </c>
      <c r="F42">
        <v>96</v>
      </c>
      <c r="G42">
        <v>4.7</v>
      </c>
      <c r="H42" t="str">
        <f>TEXT(calls[[#This Row],[Date of Call]],"DDDD")</f>
        <v>Tuesday</v>
      </c>
      <c r="I42">
        <f>ROUND(calls[[#This Row],[Satisfaction Rating]],0)</f>
        <v>5</v>
      </c>
      <c r="N42" t="str" cm="1">
        <f t="array" ref="N42">_xlfn.IFS(_xlfn.SINGLE(calls[Duration])&lt;30,"UNDER 30 MINS",_xlfn.SINGLE(calls[Duration])&lt;60,"30 T0 60 MINS",_xlfn.SINGLE(calls[Duration])&lt;120,"1 TO 2 HRS",TRUE,"ABOVE 2 HRS")</f>
        <v>1 TO 2 HRS</v>
      </c>
    </row>
    <row r="43" spans="1:14" x14ac:dyDescent="0.3">
      <c r="A43" t="s">
        <v>77</v>
      </c>
      <c r="B43" t="s">
        <v>41</v>
      </c>
      <c r="C43">
        <v>105</v>
      </c>
      <c r="D43" t="s">
        <v>23</v>
      </c>
      <c r="E43" s="1">
        <v>44944</v>
      </c>
      <c r="F43">
        <v>80</v>
      </c>
      <c r="G43">
        <v>4.7</v>
      </c>
      <c r="H43" t="str">
        <f>TEXT(calls[[#This Row],[Date of Call]],"DDDD")</f>
        <v>Wednesday</v>
      </c>
      <c r="I43">
        <f>ROUND(calls[[#This Row],[Satisfaction Rating]],0)</f>
        <v>5</v>
      </c>
      <c r="N43" t="str" cm="1">
        <f t="array" ref="N43">_xlfn.IFS(_xlfn.SINGLE(calls[Duration])&lt;30,"UNDER 30 MINS",_xlfn.SINGLE(calls[Duration])&lt;60,"30 T0 60 MINS",_xlfn.SINGLE(calls[Duration])&lt;120,"1 TO 2 HRS",TRUE,"ABOVE 2 HRS")</f>
        <v>1 TO 2 HRS</v>
      </c>
    </row>
    <row r="44" spans="1:14" x14ac:dyDescent="0.3">
      <c r="A44" t="s">
        <v>78</v>
      </c>
      <c r="B44" t="s">
        <v>39</v>
      </c>
      <c r="C44">
        <v>89</v>
      </c>
      <c r="D44" t="s">
        <v>13</v>
      </c>
      <c r="E44" s="1">
        <v>44944</v>
      </c>
      <c r="F44">
        <v>155</v>
      </c>
      <c r="G44">
        <v>4.0999999999999996</v>
      </c>
      <c r="H44" t="str">
        <f>TEXT(calls[[#This Row],[Date of Call]],"DDDD")</f>
        <v>Wednesday</v>
      </c>
      <c r="I44">
        <f>ROUND(calls[[#This Row],[Satisfaction Rating]],0)</f>
        <v>4</v>
      </c>
      <c r="N44" t="str" cm="1">
        <f t="array" ref="N44">_xlfn.IFS(_xlfn.SINGLE(calls[Duration])&lt;30,"UNDER 30 MINS",_xlfn.SINGLE(calls[Duration])&lt;60,"30 T0 60 MINS",_xlfn.SINGLE(calls[Duration])&lt;120,"1 TO 2 HRS",TRUE,"ABOVE 2 HRS")</f>
        <v>1 TO 2 HRS</v>
      </c>
    </row>
    <row r="45" spans="1:14" x14ac:dyDescent="0.3">
      <c r="A45" t="s">
        <v>79</v>
      </c>
      <c r="B45" t="s">
        <v>45</v>
      </c>
      <c r="C45">
        <v>132</v>
      </c>
      <c r="D45" t="s">
        <v>42</v>
      </c>
      <c r="E45" s="1">
        <v>44944</v>
      </c>
      <c r="F45">
        <v>168</v>
      </c>
      <c r="G45">
        <v>4.0999999999999996</v>
      </c>
      <c r="H45" t="str">
        <f>TEXT(calls[[#This Row],[Date of Call]],"DDDD")</f>
        <v>Wednesday</v>
      </c>
      <c r="I45">
        <f>ROUND(calls[[#This Row],[Satisfaction Rating]],0)</f>
        <v>4</v>
      </c>
      <c r="N45" t="str" cm="1">
        <f t="array" ref="N45">_xlfn.IFS(_xlfn.SINGLE(calls[Duration])&lt;30,"UNDER 30 MINS",_xlfn.SINGLE(calls[Duration])&lt;60,"30 T0 60 MINS",_xlfn.SINGLE(calls[Duration])&lt;120,"1 TO 2 HRS",TRUE,"ABOVE 2 HRS")</f>
        <v>ABOVE 2 HRS</v>
      </c>
    </row>
    <row r="46" spans="1:14" x14ac:dyDescent="0.3">
      <c r="A46" t="s">
        <v>80</v>
      </c>
      <c r="B46" t="s">
        <v>14</v>
      </c>
      <c r="C46">
        <v>105</v>
      </c>
      <c r="D46" t="s">
        <v>29</v>
      </c>
      <c r="E46" s="1">
        <v>44944</v>
      </c>
      <c r="F46">
        <v>56</v>
      </c>
      <c r="G46">
        <v>3.6</v>
      </c>
      <c r="H46" t="str">
        <f>TEXT(calls[[#This Row],[Date of Call]],"DDDD")</f>
        <v>Wednesday</v>
      </c>
      <c r="I46">
        <f>ROUND(calls[[#This Row],[Satisfaction Rating]],0)</f>
        <v>4</v>
      </c>
      <c r="N46" t="str" cm="1">
        <f t="array" ref="N46">_xlfn.IFS(_xlfn.SINGLE(calls[Duration])&lt;30,"UNDER 30 MINS",_xlfn.SINGLE(calls[Duration])&lt;60,"30 T0 60 MINS",_xlfn.SINGLE(calls[Duration])&lt;120,"1 TO 2 HRS",TRUE,"ABOVE 2 HRS")</f>
        <v>1 TO 2 HRS</v>
      </c>
    </row>
    <row r="47" spans="1:14" x14ac:dyDescent="0.3">
      <c r="A47" t="s">
        <v>81</v>
      </c>
      <c r="B47" t="s">
        <v>28</v>
      </c>
      <c r="C47">
        <v>13</v>
      </c>
      <c r="D47" t="s">
        <v>42</v>
      </c>
      <c r="E47" s="1">
        <v>44945</v>
      </c>
      <c r="F47">
        <v>32</v>
      </c>
      <c r="G47">
        <v>4.4000000000000004</v>
      </c>
      <c r="H47" t="str">
        <f>TEXT(calls[[#This Row],[Date of Call]],"DDDD")</f>
        <v>Thursday</v>
      </c>
      <c r="I47">
        <f>ROUND(calls[[#This Row],[Satisfaction Rating]],0)</f>
        <v>4</v>
      </c>
      <c r="N47" t="str" cm="1">
        <f t="array" ref="N47">_xlfn.IFS(_xlfn.SINGLE(calls[Duration])&lt;30,"UNDER 30 MINS",_xlfn.SINGLE(calls[Duration])&lt;60,"30 T0 60 MINS",_xlfn.SINGLE(calls[Duration])&lt;120,"1 TO 2 HRS",TRUE,"ABOVE 2 HRS")</f>
        <v>UNDER 30 MINS</v>
      </c>
    </row>
    <row r="48" spans="1:14" x14ac:dyDescent="0.3">
      <c r="A48" t="s">
        <v>82</v>
      </c>
      <c r="B48" t="s">
        <v>26</v>
      </c>
      <c r="C48">
        <v>131</v>
      </c>
      <c r="D48" t="s">
        <v>29</v>
      </c>
      <c r="E48" s="1">
        <v>44945</v>
      </c>
      <c r="F48">
        <v>78</v>
      </c>
      <c r="G48">
        <v>4.4000000000000004</v>
      </c>
      <c r="H48" t="str">
        <f>TEXT(calls[[#This Row],[Date of Call]],"DDDD")</f>
        <v>Thursday</v>
      </c>
      <c r="I48">
        <f>ROUND(calls[[#This Row],[Satisfaction Rating]],0)</f>
        <v>4</v>
      </c>
      <c r="N48" t="str" cm="1">
        <f t="array" ref="N48">_xlfn.IFS(_xlfn.SINGLE(calls[Duration])&lt;30,"UNDER 30 MINS",_xlfn.SINGLE(calls[Duration])&lt;60,"30 T0 60 MINS",_xlfn.SINGLE(calls[Duration])&lt;120,"1 TO 2 HRS",TRUE,"ABOVE 2 HRS")</f>
        <v>ABOVE 2 HRS</v>
      </c>
    </row>
    <row r="49" spans="1:14" x14ac:dyDescent="0.3">
      <c r="A49" t="s">
        <v>83</v>
      </c>
      <c r="B49" t="s">
        <v>18</v>
      </c>
      <c r="C49">
        <v>104</v>
      </c>
      <c r="D49" t="s">
        <v>13</v>
      </c>
      <c r="E49" s="1">
        <v>44945</v>
      </c>
      <c r="F49">
        <v>86</v>
      </c>
      <c r="G49">
        <v>4</v>
      </c>
      <c r="H49" t="str">
        <f>TEXT(calls[[#This Row],[Date of Call]],"DDDD")</f>
        <v>Thursday</v>
      </c>
      <c r="I49">
        <f>ROUND(calls[[#This Row],[Satisfaction Rating]],0)</f>
        <v>4</v>
      </c>
      <c r="N49" t="str" cm="1">
        <f t="array" ref="N49">_xlfn.IFS(_xlfn.SINGLE(calls[Duration])&lt;30,"UNDER 30 MINS",_xlfn.SINGLE(calls[Duration])&lt;60,"30 T0 60 MINS",_xlfn.SINGLE(calls[Duration])&lt;120,"1 TO 2 HRS",TRUE,"ABOVE 2 HRS")</f>
        <v>1 TO 2 HRS</v>
      </c>
    </row>
    <row r="50" spans="1:14" x14ac:dyDescent="0.3">
      <c r="A50" t="s">
        <v>84</v>
      </c>
      <c r="B50" t="s">
        <v>12</v>
      </c>
      <c r="C50">
        <v>90</v>
      </c>
      <c r="D50" t="s">
        <v>23</v>
      </c>
      <c r="E50" s="1">
        <v>44946</v>
      </c>
      <c r="F50">
        <v>64</v>
      </c>
      <c r="G50">
        <v>3.8</v>
      </c>
      <c r="H50" t="str">
        <f>TEXT(calls[[#This Row],[Date of Call]],"DDDD")</f>
        <v>Friday</v>
      </c>
      <c r="I50">
        <f>ROUND(calls[[#This Row],[Satisfaction Rating]],0)</f>
        <v>4</v>
      </c>
      <c r="N50" t="str" cm="1">
        <f t="array" ref="N50">_xlfn.IFS(_xlfn.SINGLE(calls[Duration])&lt;30,"UNDER 30 MINS",_xlfn.SINGLE(calls[Duration])&lt;60,"30 T0 60 MINS",_xlfn.SINGLE(calls[Duration])&lt;120,"1 TO 2 HRS",TRUE,"ABOVE 2 HRS")</f>
        <v>1 TO 2 HRS</v>
      </c>
    </row>
    <row r="51" spans="1:14" x14ac:dyDescent="0.3">
      <c r="A51" t="s">
        <v>85</v>
      </c>
      <c r="B51" t="s">
        <v>46</v>
      </c>
      <c r="C51">
        <v>37</v>
      </c>
      <c r="D51" t="s">
        <v>23</v>
      </c>
      <c r="E51" s="1">
        <v>44946</v>
      </c>
      <c r="F51">
        <v>96</v>
      </c>
      <c r="G51">
        <v>3.6</v>
      </c>
      <c r="H51" t="str">
        <f>TEXT(calls[[#This Row],[Date of Call]],"DDDD")</f>
        <v>Friday</v>
      </c>
      <c r="I51">
        <f>ROUND(calls[[#This Row],[Satisfaction Rating]],0)</f>
        <v>4</v>
      </c>
      <c r="N51" t="str" cm="1">
        <f t="array" ref="N51">_xlfn.IFS(_xlfn.SINGLE(calls[Duration])&lt;30,"UNDER 30 MINS",_xlfn.SINGLE(calls[Duration])&lt;60,"30 T0 60 MINS",_xlfn.SINGLE(calls[Duration])&lt;120,"1 TO 2 HRS",TRUE,"ABOVE 2 HRS")</f>
        <v>30 T0 60 MINS</v>
      </c>
    </row>
    <row r="52" spans="1:14" x14ac:dyDescent="0.3">
      <c r="A52" t="s">
        <v>86</v>
      </c>
      <c r="B52" t="s">
        <v>19</v>
      </c>
      <c r="C52">
        <v>149</v>
      </c>
      <c r="D52" t="s">
        <v>29</v>
      </c>
      <c r="E52" s="1">
        <v>44946</v>
      </c>
      <c r="F52">
        <v>72</v>
      </c>
      <c r="G52">
        <v>4.3</v>
      </c>
      <c r="H52" t="str">
        <f>TEXT(calls[[#This Row],[Date of Call]],"DDDD")</f>
        <v>Friday</v>
      </c>
      <c r="I52">
        <f>ROUND(calls[[#This Row],[Satisfaction Rating]],0)</f>
        <v>4</v>
      </c>
      <c r="N52" t="str" cm="1">
        <f t="array" ref="N52">_xlfn.IFS(_xlfn.SINGLE(calls[Duration])&lt;30,"UNDER 30 MINS",_xlfn.SINGLE(calls[Duration])&lt;60,"30 T0 60 MINS",_xlfn.SINGLE(calls[Duration])&lt;120,"1 TO 2 HRS",TRUE,"ABOVE 2 HRS")</f>
        <v>ABOVE 2 HRS</v>
      </c>
    </row>
    <row r="53" spans="1:14" x14ac:dyDescent="0.3">
      <c r="A53" t="s">
        <v>87</v>
      </c>
      <c r="B53" t="s">
        <v>45</v>
      </c>
      <c r="C53">
        <v>100</v>
      </c>
      <c r="D53" t="s">
        <v>36</v>
      </c>
      <c r="E53" s="1">
        <v>44947</v>
      </c>
      <c r="F53">
        <v>135</v>
      </c>
      <c r="G53">
        <v>3.8</v>
      </c>
      <c r="H53" t="str">
        <f>TEXT(calls[[#This Row],[Date of Call]],"DDDD")</f>
        <v>Saturday</v>
      </c>
      <c r="I53">
        <f>ROUND(calls[[#This Row],[Satisfaction Rating]],0)</f>
        <v>4</v>
      </c>
      <c r="N53" t="str" cm="1">
        <f t="array" ref="N53">_xlfn.IFS(_xlfn.SINGLE(calls[Duration])&lt;30,"UNDER 30 MINS",_xlfn.SINGLE(calls[Duration])&lt;60,"30 T0 60 MINS",_xlfn.SINGLE(calls[Duration])&lt;120,"1 TO 2 HRS",TRUE,"ABOVE 2 HRS")</f>
        <v>1 TO 2 HRS</v>
      </c>
    </row>
    <row r="54" spans="1:14" x14ac:dyDescent="0.3">
      <c r="A54" t="s">
        <v>88</v>
      </c>
      <c r="B54" t="s">
        <v>45</v>
      </c>
      <c r="C54">
        <v>79</v>
      </c>
      <c r="D54" t="s">
        <v>42</v>
      </c>
      <c r="E54" s="1">
        <v>44947</v>
      </c>
      <c r="F54">
        <v>140</v>
      </c>
      <c r="G54">
        <v>4.5</v>
      </c>
      <c r="H54" t="str">
        <f>TEXT(calls[[#This Row],[Date of Call]],"DDDD")</f>
        <v>Saturday</v>
      </c>
      <c r="I54">
        <f>ROUND(calls[[#This Row],[Satisfaction Rating]],0)</f>
        <v>5</v>
      </c>
      <c r="N54" t="str" cm="1">
        <f t="array" ref="N54">_xlfn.IFS(_xlfn.SINGLE(calls[Duration])&lt;30,"UNDER 30 MINS",_xlfn.SINGLE(calls[Duration])&lt;60,"30 T0 60 MINS",_xlfn.SINGLE(calls[Duration])&lt;120,"1 TO 2 HRS",TRUE,"ABOVE 2 HRS")</f>
        <v>1 TO 2 HRS</v>
      </c>
    </row>
    <row r="55" spans="1:14" x14ac:dyDescent="0.3">
      <c r="A55" t="s">
        <v>89</v>
      </c>
      <c r="B55" t="s">
        <v>37</v>
      </c>
      <c r="C55">
        <v>157</v>
      </c>
      <c r="D55" t="s">
        <v>29</v>
      </c>
      <c r="E55" s="1">
        <v>44947</v>
      </c>
      <c r="F55">
        <v>69</v>
      </c>
      <c r="G55">
        <v>4.5</v>
      </c>
      <c r="H55" t="str">
        <f>TEXT(calls[[#This Row],[Date of Call]],"DDDD")</f>
        <v>Saturday</v>
      </c>
      <c r="I55">
        <f>ROUND(calls[[#This Row],[Satisfaction Rating]],0)</f>
        <v>5</v>
      </c>
      <c r="N55" t="str" cm="1">
        <f t="array" ref="N55">_xlfn.IFS(_xlfn.SINGLE(calls[Duration])&lt;30,"UNDER 30 MINS",_xlfn.SINGLE(calls[Duration])&lt;60,"30 T0 60 MINS",_xlfn.SINGLE(calls[Duration])&lt;120,"1 TO 2 HRS",TRUE,"ABOVE 2 HRS")</f>
        <v>ABOVE 2 HRS</v>
      </c>
    </row>
    <row r="56" spans="1:14" x14ac:dyDescent="0.3">
      <c r="A56" t="s">
        <v>90</v>
      </c>
      <c r="B56" t="s">
        <v>45</v>
      </c>
      <c r="C56">
        <v>59</v>
      </c>
      <c r="D56" t="s">
        <v>13</v>
      </c>
      <c r="E56" s="1">
        <v>44948</v>
      </c>
      <c r="F56">
        <v>136</v>
      </c>
      <c r="G56">
        <v>4.5999999999999996</v>
      </c>
      <c r="H56" t="str">
        <f>TEXT(calls[[#This Row],[Date of Call]],"DDDD")</f>
        <v>Sunday</v>
      </c>
      <c r="I56">
        <f>ROUND(calls[[#This Row],[Satisfaction Rating]],0)</f>
        <v>5</v>
      </c>
      <c r="N56" t="str" cm="1">
        <f t="array" ref="N56">_xlfn.IFS(_xlfn.SINGLE(calls[Duration])&lt;30,"UNDER 30 MINS",_xlfn.SINGLE(calls[Duration])&lt;60,"30 T0 60 MINS",_xlfn.SINGLE(calls[Duration])&lt;120,"1 TO 2 HRS",TRUE,"ABOVE 2 HRS")</f>
        <v>30 T0 60 MINS</v>
      </c>
    </row>
    <row r="57" spans="1:14" x14ac:dyDescent="0.3">
      <c r="A57" t="s">
        <v>91</v>
      </c>
      <c r="B57" t="s">
        <v>46</v>
      </c>
      <c r="C57">
        <v>83</v>
      </c>
      <c r="D57" t="s">
        <v>29</v>
      </c>
      <c r="E57" s="1">
        <v>44948</v>
      </c>
      <c r="F57">
        <v>28</v>
      </c>
      <c r="G57">
        <v>4.5</v>
      </c>
      <c r="H57" t="str">
        <f>TEXT(calls[[#This Row],[Date of Call]],"DDDD")</f>
        <v>Sunday</v>
      </c>
      <c r="I57">
        <f>ROUND(calls[[#This Row],[Satisfaction Rating]],0)</f>
        <v>5</v>
      </c>
      <c r="N57" t="str" cm="1">
        <f t="array" ref="N57">_xlfn.IFS(_xlfn.SINGLE(calls[Duration])&lt;30,"UNDER 30 MINS",_xlfn.SINGLE(calls[Duration])&lt;60,"30 T0 60 MINS",_xlfn.SINGLE(calls[Duration])&lt;120,"1 TO 2 HRS",TRUE,"ABOVE 2 HRS")</f>
        <v>1 TO 2 HRS</v>
      </c>
    </row>
    <row r="58" spans="1:14" x14ac:dyDescent="0.3">
      <c r="A58" t="s">
        <v>92</v>
      </c>
      <c r="B58" t="s">
        <v>37</v>
      </c>
      <c r="C58">
        <v>58</v>
      </c>
      <c r="D58" t="s">
        <v>23</v>
      </c>
      <c r="E58" s="1">
        <v>44949</v>
      </c>
      <c r="F58">
        <v>135</v>
      </c>
      <c r="G58">
        <v>3.3</v>
      </c>
      <c r="H58" t="str">
        <f>TEXT(calls[[#This Row],[Date of Call]],"DDDD")</f>
        <v>Monday</v>
      </c>
      <c r="I58">
        <f>ROUND(calls[[#This Row],[Satisfaction Rating]],0)</f>
        <v>3</v>
      </c>
      <c r="N58" t="str" cm="1">
        <f t="array" ref="N58">_xlfn.IFS(_xlfn.SINGLE(calls[Duration])&lt;30,"UNDER 30 MINS",_xlfn.SINGLE(calls[Duration])&lt;60,"30 T0 60 MINS",_xlfn.SINGLE(calls[Duration])&lt;120,"1 TO 2 HRS",TRUE,"ABOVE 2 HRS")</f>
        <v>30 T0 60 MINS</v>
      </c>
    </row>
    <row r="59" spans="1:14" x14ac:dyDescent="0.3">
      <c r="A59" t="s">
        <v>93</v>
      </c>
      <c r="B59" t="s">
        <v>50</v>
      </c>
      <c r="C59">
        <v>118</v>
      </c>
      <c r="D59" t="s">
        <v>23</v>
      </c>
      <c r="E59" s="1">
        <v>44949</v>
      </c>
      <c r="F59">
        <v>126</v>
      </c>
      <c r="G59">
        <v>2.2999999999999998</v>
      </c>
      <c r="H59" t="str">
        <f>TEXT(calls[[#This Row],[Date of Call]],"DDDD")</f>
        <v>Monday</v>
      </c>
      <c r="I59">
        <f>ROUND(calls[[#This Row],[Satisfaction Rating]],0)</f>
        <v>2</v>
      </c>
      <c r="N59" t="str" cm="1">
        <f t="array" ref="N59">_xlfn.IFS(_xlfn.SINGLE(calls[Duration])&lt;30,"UNDER 30 MINS",_xlfn.SINGLE(calls[Duration])&lt;60,"30 T0 60 MINS",_xlfn.SINGLE(calls[Duration])&lt;120,"1 TO 2 HRS",TRUE,"ABOVE 2 HRS")</f>
        <v>1 TO 2 HRS</v>
      </c>
    </row>
    <row r="60" spans="1:14" x14ac:dyDescent="0.3">
      <c r="A60" t="s">
        <v>94</v>
      </c>
      <c r="B60" t="s">
        <v>28</v>
      </c>
      <c r="C60">
        <v>63</v>
      </c>
      <c r="D60" t="s">
        <v>13</v>
      </c>
      <c r="E60" s="1">
        <v>44949</v>
      </c>
      <c r="F60">
        <v>160</v>
      </c>
      <c r="G60">
        <v>4.3</v>
      </c>
      <c r="H60" t="str">
        <f>TEXT(calls[[#This Row],[Date of Call]],"DDDD")</f>
        <v>Monday</v>
      </c>
      <c r="I60">
        <f>ROUND(calls[[#This Row],[Satisfaction Rating]],0)</f>
        <v>4</v>
      </c>
      <c r="N60" t="str" cm="1">
        <f t="array" ref="N60">_xlfn.IFS(_xlfn.SINGLE(calls[Duration])&lt;30,"UNDER 30 MINS",_xlfn.SINGLE(calls[Duration])&lt;60,"30 T0 60 MINS",_xlfn.SINGLE(calls[Duration])&lt;120,"1 TO 2 HRS",TRUE,"ABOVE 2 HRS")</f>
        <v>1 TO 2 HRS</v>
      </c>
    </row>
    <row r="61" spans="1:14" x14ac:dyDescent="0.3">
      <c r="A61" t="s">
        <v>95</v>
      </c>
      <c r="B61" t="s">
        <v>37</v>
      </c>
      <c r="C61">
        <v>95</v>
      </c>
      <c r="D61" t="s">
        <v>23</v>
      </c>
      <c r="E61" s="1">
        <v>44950</v>
      </c>
      <c r="F61">
        <v>48</v>
      </c>
      <c r="G61">
        <v>4.5999999999999996</v>
      </c>
      <c r="H61" t="str">
        <f>TEXT(calls[[#This Row],[Date of Call]],"DDDD")</f>
        <v>Tuesday</v>
      </c>
      <c r="I61">
        <f>ROUND(calls[[#This Row],[Satisfaction Rating]],0)</f>
        <v>5</v>
      </c>
      <c r="N61" t="str" cm="1">
        <f t="array" ref="N61">_xlfn.IFS(_xlfn.SINGLE(calls[Duration])&lt;30,"UNDER 30 MINS",_xlfn.SINGLE(calls[Duration])&lt;60,"30 T0 60 MINS",_xlfn.SINGLE(calls[Duration])&lt;120,"1 TO 2 HRS",TRUE,"ABOVE 2 HRS")</f>
        <v>1 TO 2 HRS</v>
      </c>
    </row>
    <row r="62" spans="1:14" x14ac:dyDescent="0.3">
      <c r="A62" t="s">
        <v>96</v>
      </c>
      <c r="B62" t="s">
        <v>45</v>
      </c>
      <c r="C62">
        <v>74</v>
      </c>
      <c r="D62" t="s">
        <v>29</v>
      </c>
      <c r="E62" s="1">
        <v>44950</v>
      </c>
      <c r="F62">
        <v>66</v>
      </c>
      <c r="G62">
        <v>4</v>
      </c>
      <c r="H62" t="str">
        <f>TEXT(calls[[#This Row],[Date of Call]],"DDDD")</f>
        <v>Tuesday</v>
      </c>
      <c r="I62">
        <f>ROUND(calls[[#This Row],[Satisfaction Rating]],0)</f>
        <v>4</v>
      </c>
      <c r="N62" t="str" cm="1">
        <f t="array" ref="N62">_xlfn.IFS(_xlfn.SINGLE(calls[Duration])&lt;30,"UNDER 30 MINS",_xlfn.SINGLE(calls[Duration])&lt;60,"30 T0 60 MINS",_xlfn.SINGLE(calls[Duration])&lt;120,"1 TO 2 HRS",TRUE,"ABOVE 2 HRS")</f>
        <v>1 TO 2 HRS</v>
      </c>
    </row>
    <row r="63" spans="1:14" x14ac:dyDescent="0.3">
      <c r="A63" t="s">
        <v>97</v>
      </c>
      <c r="B63" t="s">
        <v>41</v>
      </c>
      <c r="C63">
        <v>130</v>
      </c>
      <c r="D63" t="s">
        <v>36</v>
      </c>
      <c r="E63" s="1">
        <v>44950</v>
      </c>
      <c r="F63">
        <v>126</v>
      </c>
      <c r="G63">
        <v>2.5</v>
      </c>
      <c r="H63" t="str">
        <f>TEXT(calls[[#This Row],[Date of Call]],"DDDD")</f>
        <v>Tuesday</v>
      </c>
      <c r="I63">
        <f>ROUND(calls[[#This Row],[Satisfaction Rating]],0)</f>
        <v>3</v>
      </c>
      <c r="N63" t="str" cm="1">
        <f t="array" ref="N63">_xlfn.IFS(_xlfn.SINGLE(calls[Duration])&lt;30,"UNDER 30 MINS",_xlfn.SINGLE(calls[Duration])&lt;60,"30 T0 60 MINS",_xlfn.SINGLE(calls[Duration])&lt;120,"1 TO 2 HRS",TRUE,"ABOVE 2 HRS")</f>
        <v>ABOVE 2 HRS</v>
      </c>
    </row>
    <row r="64" spans="1:14" x14ac:dyDescent="0.3">
      <c r="A64" t="s">
        <v>98</v>
      </c>
      <c r="B64" t="s">
        <v>50</v>
      </c>
      <c r="C64">
        <v>110</v>
      </c>
      <c r="D64" t="s">
        <v>42</v>
      </c>
      <c r="E64" s="1">
        <v>44950</v>
      </c>
      <c r="F64">
        <v>96</v>
      </c>
      <c r="G64">
        <v>5</v>
      </c>
      <c r="H64" t="str">
        <f>TEXT(calls[[#This Row],[Date of Call]],"DDDD")</f>
        <v>Tuesday</v>
      </c>
      <c r="I64">
        <f>ROUND(calls[[#This Row],[Satisfaction Rating]],0)</f>
        <v>5</v>
      </c>
      <c r="N64" t="str" cm="1">
        <f t="array" ref="N64">_xlfn.IFS(_xlfn.SINGLE(calls[Duration])&lt;30,"UNDER 30 MINS",_xlfn.SINGLE(calls[Duration])&lt;60,"30 T0 60 MINS",_xlfn.SINGLE(calls[Duration])&lt;120,"1 TO 2 HRS",TRUE,"ABOVE 2 HRS")</f>
        <v>1 TO 2 HRS</v>
      </c>
    </row>
    <row r="65" spans="1:14" x14ac:dyDescent="0.3">
      <c r="A65" t="s">
        <v>99</v>
      </c>
      <c r="B65" t="s">
        <v>45</v>
      </c>
      <c r="C65">
        <v>71</v>
      </c>
      <c r="D65" t="s">
        <v>13</v>
      </c>
      <c r="E65" s="1">
        <v>44951</v>
      </c>
      <c r="F65">
        <v>90</v>
      </c>
      <c r="G65">
        <v>3.8</v>
      </c>
      <c r="H65" t="str">
        <f>TEXT(calls[[#This Row],[Date of Call]],"DDDD")</f>
        <v>Wednesday</v>
      </c>
      <c r="I65">
        <f>ROUND(calls[[#This Row],[Satisfaction Rating]],0)</f>
        <v>4</v>
      </c>
      <c r="N65" t="str" cm="1">
        <f t="array" ref="N65">_xlfn.IFS(_xlfn.SINGLE(calls[Duration])&lt;30,"UNDER 30 MINS",_xlfn.SINGLE(calls[Duration])&lt;60,"30 T0 60 MINS",_xlfn.SINGLE(calls[Duration])&lt;120,"1 TO 2 HRS",TRUE,"ABOVE 2 HRS")</f>
        <v>1 TO 2 HRS</v>
      </c>
    </row>
    <row r="66" spans="1:14" x14ac:dyDescent="0.3">
      <c r="A66" t="s">
        <v>100</v>
      </c>
      <c r="B66" t="s">
        <v>14</v>
      </c>
      <c r="C66">
        <v>147</v>
      </c>
      <c r="D66" t="s">
        <v>36</v>
      </c>
      <c r="E66" s="1">
        <v>44951</v>
      </c>
      <c r="F66">
        <v>105</v>
      </c>
      <c r="G66">
        <v>4.4000000000000004</v>
      </c>
      <c r="H66" t="str">
        <f>TEXT(calls[[#This Row],[Date of Call]],"DDDD")</f>
        <v>Wednesday</v>
      </c>
      <c r="I66">
        <f>ROUND(calls[[#This Row],[Satisfaction Rating]],0)</f>
        <v>4</v>
      </c>
      <c r="N66" t="str" cm="1">
        <f t="array" ref="N66">_xlfn.IFS(_xlfn.SINGLE(calls[Duration])&lt;30,"UNDER 30 MINS",_xlfn.SINGLE(calls[Duration])&lt;60,"30 T0 60 MINS",_xlfn.SINGLE(calls[Duration])&lt;120,"1 TO 2 HRS",TRUE,"ABOVE 2 HRS")</f>
        <v>ABOVE 2 HRS</v>
      </c>
    </row>
    <row r="67" spans="1:14" x14ac:dyDescent="0.3">
      <c r="A67" t="s">
        <v>101</v>
      </c>
      <c r="B67" t="s">
        <v>18</v>
      </c>
      <c r="C67">
        <v>69</v>
      </c>
      <c r="D67" t="s">
        <v>23</v>
      </c>
      <c r="E67" s="1">
        <v>44952</v>
      </c>
      <c r="F67">
        <v>40</v>
      </c>
      <c r="G67">
        <v>3.8</v>
      </c>
      <c r="H67" t="str">
        <f>TEXT(calls[[#This Row],[Date of Call]],"DDDD")</f>
        <v>Thursday</v>
      </c>
      <c r="I67">
        <f>ROUND(calls[[#This Row],[Satisfaction Rating]],0)</f>
        <v>4</v>
      </c>
      <c r="N67" t="str" cm="1">
        <f t="array" ref="N67">_xlfn.IFS(_xlfn.SINGLE(calls[Duration])&lt;30,"UNDER 30 MINS",_xlfn.SINGLE(calls[Duration])&lt;60,"30 T0 60 MINS",_xlfn.SINGLE(calls[Duration])&lt;120,"1 TO 2 HRS",TRUE,"ABOVE 2 HRS")</f>
        <v>1 TO 2 HRS</v>
      </c>
    </row>
    <row r="68" spans="1:14" x14ac:dyDescent="0.3">
      <c r="A68" t="s">
        <v>102</v>
      </c>
      <c r="B68" t="s">
        <v>50</v>
      </c>
      <c r="C68">
        <v>50</v>
      </c>
      <c r="D68" t="s">
        <v>13</v>
      </c>
      <c r="E68" s="1">
        <v>44952</v>
      </c>
      <c r="F68">
        <v>60</v>
      </c>
      <c r="G68">
        <v>2</v>
      </c>
      <c r="H68" t="str">
        <f>TEXT(calls[[#This Row],[Date of Call]],"DDDD")</f>
        <v>Thursday</v>
      </c>
      <c r="I68">
        <f>ROUND(calls[[#This Row],[Satisfaction Rating]],0)</f>
        <v>2</v>
      </c>
      <c r="N68" t="str" cm="1">
        <f t="array" ref="N68">_xlfn.IFS(_xlfn.SINGLE(calls[Duration])&lt;30,"UNDER 30 MINS",_xlfn.SINGLE(calls[Duration])&lt;60,"30 T0 60 MINS",_xlfn.SINGLE(calls[Duration])&lt;120,"1 TO 2 HRS",TRUE,"ABOVE 2 HRS")</f>
        <v>30 T0 60 MINS</v>
      </c>
    </row>
    <row r="69" spans="1:14" x14ac:dyDescent="0.3">
      <c r="A69" t="s">
        <v>103</v>
      </c>
      <c r="B69" t="s">
        <v>41</v>
      </c>
      <c r="C69">
        <v>124</v>
      </c>
      <c r="D69" t="s">
        <v>36</v>
      </c>
      <c r="E69" s="1">
        <v>44953</v>
      </c>
      <c r="F69">
        <v>215</v>
      </c>
      <c r="G69">
        <v>4.0999999999999996</v>
      </c>
      <c r="H69" t="str">
        <f>TEXT(calls[[#This Row],[Date of Call]],"DDDD")</f>
        <v>Friday</v>
      </c>
      <c r="I69">
        <f>ROUND(calls[[#This Row],[Satisfaction Rating]],0)</f>
        <v>4</v>
      </c>
      <c r="N69" t="str" cm="1">
        <f t="array" ref="N69">_xlfn.IFS(_xlfn.SINGLE(calls[Duration])&lt;30,"UNDER 30 MINS",_xlfn.SINGLE(calls[Duration])&lt;60,"30 T0 60 MINS",_xlfn.SINGLE(calls[Duration])&lt;120,"1 TO 2 HRS",TRUE,"ABOVE 2 HRS")</f>
        <v>ABOVE 2 HRS</v>
      </c>
    </row>
    <row r="70" spans="1:14" x14ac:dyDescent="0.3">
      <c r="A70" t="s">
        <v>104</v>
      </c>
      <c r="B70" t="s">
        <v>22</v>
      </c>
      <c r="C70">
        <v>81</v>
      </c>
      <c r="D70" t="s">
        <v>29</v>
      </c>
      <c r="E70" s="1">
        <v>44953</v>
      </c>
      <c r="F70">
        <v>156</v>
      </c>
      <c r="G70">
        <v>2.6</v>
      </c>
      <c r="H70" t="str">
        <f>TEXT(calls[[#This Row],[Date of Call]],"DDDD")</f>
        <v>Friday</v>
      </c>
      <c r="I70">
        <f>ROUND(calls[[#This Row],[Satisfaction Rating]],0)</f>
        <v>3</v>
      </c>
      <c r="N70" t="str" cm="1">
        <f t="array" ref="N70">_xlfn.IFS(_xlfn.SINGLE(calls[Duration])&lt;30,"UNDER 30 MINS",_xlfn.SINGLE(calls[Duration])&lt;60,"30 T0 60 MINS",_xlfn.SINGLE(calls[Duration])&lt;120,"1 TO 2 HRS",TRUE,"ABOVE 2 HRS")</f>
        <v>1 TO 2 HRS</v>
      </c>
    </row>
    <row r="71" spans="1:14" x14ac:dyDescent="0.3">
      <c r="A71" t="s">
        <v>105</v>
      </c>
      <c r="B71" t="s">
        <v>31</v>
      </c>
      <c r="C71">
        <v>141</v>
      </c>
      <c r="D71" t="s">
        <v>42</v>
      </c>
      <c r="E71" s="1">
        <v>44953</v>
      </c>
      <c r="F71">
        <v>54</v>
      </c>
      <c r="G71">
        <v>0</v>
      </c>
      <c r="H71" t="str">
        <f>TEXT(calls[[#This Row],[Date of Call]],"DDDD")</f>
        <v>Friday</v>
      </c>
      <c r="I71">
        <f>ROUND(calls[[#This Row],[Satisfaction Rating]],0)</f>
        <v>0</v>
      </c>
      <c r="N71" t="str" cm="1">
        <f t="array" ref="N71">_xlfn.IFS(_xlfn.SINGLE(calls[Duration])&lt;30,"UNDER 30 MINS",_xlfn.SINGLE(calls[Duration])&lt;60,"30 T0 60 MINS",_xlfn.SINGLE(calls[Duration])&lt;120,"1 TO 2 HRS",TRUE,"ABOVE 2 HRS")</f>
        <v>ABOVE 2 HRS</v>
      </c>
    </row>
    <row r="72" spans="1:14" x14ac:dyDescent="0.3">
      <c r="A72" t="s">
        <v>106</v>
      </c>
      <c r="B72" t="s">
        <v>31</v>
      </c>
      <c r="C72">
        <v>168</v>
      </c>
      <c r="D72" t="s">
        <v>42</v>
      </c>
      <c r="E72" s="1">
        <v>44954</v>
      </c>
      <c r="F72">
        <v>160</v>
      </c>
      <c r="G72">
        <v>3.9</v>
      </c>
      <c r="H72" t="str">
        <f>TEXT(calls[[#This Row],[Date of Call]],"DDDD")</f>
        <v>Saturday</v>
      </c>
      <c r="I72">
        <f>ROUND(calls[[#This Row],[Satisfaction Rating]],0)</f>
        <v>4</v>
      </c>
      <c r="N72" t="str" cm="1">
        <f t="array" ref="N72">_xlfn.IFS(_xlfn.SINGLE(calls[Duration])&lt;30,"UNDER 30 MINS",_xlfn.SINGLE(calls[Duration])&lt;60,"30 T0 60 MINS",_xlfn.SINGLE(calls[Duration])&lt;120,"1 TO 2 HRS",TRUE,"ABOVE 2 HRS")</f>
        <v>ABOVE 2 HRS</v>
      </c>
    </row>
    <row r="73" spans="1:14" x14ac:dyDescent="0.3">
      <c r="A73" t="s">
        <v>107</v>
      </c>
      <c r="B73" t="s">
        <v>14</v>
      </c>
      <c r="C73">
        <v>101</v>
      </c>
      <c r="D73" t="s">
        <v>29</v>
      </c>
      <c r="E73" s="1">
        <v>44954</v>
      </c>
      <c r="F73">
        <v>80</v>
      </c>
      <c r="G73">
        <v>4.8</v>
      </c>
      <c r="H73" t="str">
        <f>TEXT(calls[[#This Row],[Date of Call]],"DDDD")</f>
        <v>Saturday</v>
      </c>
      <c r="I73">
        <f>ROUND(calls[[#This Row],[Satisfaction Rating]],0)</f>
        <v>5</v>
      </c>
      <c r="N73" t="str" cm="1">
        <f t="array" ref="N73">_xlfn.IFS(_xlfn.SINGLE(calls[Duration])&lt;30,"UNDER 30 MINS",_xlfn.SINGLE(calls[Duration])&lt;60,"30 T0 60 MINS",_xlfn.SINGLE(calls[Duration])&lt;120,"1 TO 2 HRS",TRUE,"ABOVE 2 HRS")</f>
        <v>1 TO 2 HRS</v>
      </c>
    </row>
    <row r="74" spans="1:14" x14ac:dyDescent="0.3">
      <c r="A74" t="s">
        <v>108</v>
      </c>
      <c r="B74" t="s">
        <v>45</v>
      </c>
      <c r="C74">
        <v>67</v>
      </c>
      <c r="D74" t="s">
        <v>29</v>
      </c>
      <c r="E74" s="1">
        <v>44954</v>
      </c>
      <c r="F74">
        <v>168</v>
      </c>
      <c r="G74">
        <v>2.6</v>
      </c>
      <c r="H74" t="str">
        <f>TEXT(calls[[#This Row],[Date of Call]],"DDDD")</f>
        <v>Saturday</v>
      </c>
      <c r="I74">
        <f>ROUND(calls[[#This Row],[Satisfaction Rating]],0)</f>
        <v>3</v>
      </c>
      <c r="N74" t="str" cm="1">
        <f t="array" ref="N74">_xlfn.IFS(_xlfn.SINGLE(calls[Duration])&lt;30,"UNDER 30 MINS",_xlfn.SINGLE(calls[Duration])&lt;60,"30 T0 60 MINS",_xlfn.SINGLE(calls[Duration])&lt;120,"1 TO 2 HRS",TRUE,"ABOVE 2 HRS")</f>
        <v>1 TO 2 HRS</v>
      </c>
    </row>
    <row r="75" spans="1:14" x14ac:dyDescent="0.3">
      <c r="A75" t="s">
        <v>109</v>
      </c>
      <c r="B75" t="s">
        <v>37</v>
      </c>
      <c r="C75">
        <v>114</v>
      </c>
      <c r="D75" t="s">
        <v>42</v>
      </c>
      <c r="E75" s="1">
        <v>44956</v>
      </c>
      <c r="F75">
        <v>42</v>
      </c>
      <c r="G75">
        <v>2.6</v>
      </c>
      <c r="H75" t="str">
        <f>TEXT(calls[[#This Row],[Date of Call]],"DDDD")</f>
        <v>Monday</v>
      </c>
      <c r="I75">
        <f>ROUND(calls[[#This Row],[Satisfaction Rating]],0)</f>
        <v>3</v>
      </c>
      <c r="N75" t="str" cm="1">
        <f t="array" ref="N75">_xlfn.IFS(_xlfn.SINGLE(calls[Duration])&lt;30,"UNDER 30 MINS",_xlfn.SINGLE(calls[Duration])&lt;60,"30 T0 60 MINS",_xlfn.SINGLE(calls[Duration])&lt;120,"1 TO 2 HRS",TRUE,"ABOVE 2 HRS")</f>
        <v>1 TO 2 HRS</v>
      </c>
    </row>
    <row r="76" spans="1:14" x14ac:dyDescent="0.3">
      <c r="A76" t="s">
        <v>110</v>
      </c>
      <c r="B76" t="s">
        <v>22</v>
      </c>
      <c r="C76">
        <v>42</v>
      </c>
      <c r="D76" t="s">
        <v>29</v>
      </c>
      <c r="E76" s="1">
        <v>44956</v>
      </c>
      <c r="F76">
        <v>205</v>
      </c>
      <c r="G76">
        <v>3.6</v>
      </c>
      <c r="H76" t="str">
        <f>TEXT(calls[[#This Row],[Date of Call]],"DDDD")</f>
        <v>Monday</v>
      </c>
      <c r="I76">
        <f>ROUND(calls[[#This Row],[Satisfaction Rating]],0)</f>
        <v>4</v>
      </c>
      <c r="N76" t="str" cm="1">
        <f t="array" ref="N76">_xlfn.IFS(_xlfn.SINGLE(calls[Duration])&lt;30,"UNDER 30 MINS",_xlfn.SINGLE(calls[Duration])&lt;60,"30 T0 60 MINS",_xlfn.SINGLE(calls[Duration])&lt;120,"1 TO 2 HRS",TRUE,"ABOVE 2 HRS")</f>
        <v>30 T0 60 MINS</v>
      </c>
    </row>
    <row r="77" spans="1:14" x14ac:dyDescent="0.3">
      <c r="A77" t="s">
        <v>111</v>
      </c>
      <c r="B77" t="s">
        <v>28</v>
      </c>
      <c r="C77">
        <v>69</v>
      </c>
      <c r="D77" t="s">
        <v>42</v>
      </c>
      <c r="E77" s="1">
        <v>44956</v>
      </c>
      <c r="F77">
        <v>108</v>
      </c>
      <c r="G77">
        <v>3.3</v>
      </c>
      <c r="H77" t="str">
        <f>TEXT(calls[[#This Row],[Date of Call]],"DDDD")</f>
        <v>Monday</v>
      </c>
      <c r="I77">
        <f>ROUND(calls[[#This Row],[Satisfaction Rating]],0)</f>
        <v>3</v>
      </c>
      <c r="N77" t="str" cm="1">
        <f t="array" ref="N77">_xlfn.IFS(_xlfn.SINGLE(calls[Duration])&lt;30,"UNDER 30 MINS",_xlfn.SINGLE(calls[Duration])&lt;60,"30 T0 60 MINS",_xlfn.SINGLE(calls[Duration])&lt;120,"1 TO 2 HRS",TRUE,"ABOVE 2 HRS")</f>
        <v>1 TO 2 HRS</v>
      </c>
    </row>
    <row r="78" spans="1:14" x14ac:dyDescent="0.3">
      <c r="A78" t="s">
        <v>112</v>
      </c>
      <c r="B78" t="s">
        <v>41</v>
      </c>
      <c r="C78">
        <v>145</v>
      </c>
      <c r="D78" t="s">
        <v>23</v>
      </c>
      <c r="E78" s="1">
        <v>44956</v>
      </c>
      <c r="F78">
        <v>78</v>
      </c>
      <c r="G78">
        <v>1.9</v>
      </c>
      <c r="H78" t="str">
        <f>TEXT(calls[[#This Row],[Date of Call]],"DDDD")</f>
        <v>Monday</v>
      </c>
      <c r="I78">
        <f>ROUND(calls[[#This Row],[Satisfaction Rating]],0)</f>
        <v>2</v>
      </c>
      <c r="N78" t="str" cm="1">
        <f t="array" ref="N78">_xlfn.IFS(_xlfn.SINGLE(calls[Duration])&lt;30,"UNDER 30 MINS",_xlfn.SINGLE(calls[Duration])&lt;60,"30 T0 60 MINS",_xlfn.SINGLE(calls[Duration])&lt;120,"1 TO 2 HRS",TRUE,"ABOVE 2 HRS")</f>
        <v>ABOVE 2 HRS</v>
      </c>
    </row>
    <row r="79" spans="1:14" x14ac:dyDescent="0.3">
      <c r="A79" t="s">
        <v>113</v>
      </c>
      <c r="B79" t="s">
        <v>18</v>
      </c>
      <c r="C79">
        <v>43</v>
      </c>
      <c r="D79" t="s">
        <v>42</v>
      </c>
      <c r="E79" s="1">
        <v>44956</v>
      </c>
      <c r="F79">
        <v>23</v>
      </c>
      <c r="G79">
        <v>4.9000000000000004</v>
      </c>
      <c r="H79" t="str">
        <f>TEXT(calls[[#This Row],[Date of Call]],"DDDD")</f>
        <v>Monday</v>
      </c>
      <c r="I79">
        <f>ROUND(calls[[#This Row],[Satisfaction Rating]],0)</f>
        <v>5</v>
      </c>
      <c r="N79" t="str" cm="1">
        <f t="array" ref="N79">_xlfn.IFS(_xlfn.SINGLE(calls[Duration])&lt;30,"UNDER 30 MINS",_xlfn.SINGLE(calls[Duration])&lt;60,"30 T0 60 MINS",_xlfn.SINGLE(calls[Duration])&lt;120,"1 TO 2 HRS",TRUE,"ABOVE 2 HRS")</f>
        <v>30 T0 60 MINS</v>
      </c>
    </row>
    <row r="80" spans="1:14" x14ac:dyDescent="0.3">
      <c r="A80" t="s">
        <v>114</v>
      </c>
      <c r="B80" t="s">
        <v>28</v>
      </c>
      <c r="C80">
        <v>62</v>
      </c>
      <c r="D80" t="s">
        <v>13</v>
      </c>
      <c r="E80" s="1">
        <v>44957</v>
      </c>
      <c r="F80">
        <v>99</v>
      </c>
      <c r="G80">
        <v>3.6</v>
      </c>
      <c r="H80" t="str">
        <f>TEXT(calls[[#This Row],[Date of Call]],"DDDD")</f>
        <v>Tuesday</v>
      </c>
      <c r="I80">
        <f>ROUND(calls[[#This Row],[Satisfaction Rating]],0)</f>
        <v>4</v>
      </c>
      <c r="N80" t="str" cm="1">
        <f t="array" ref="N80">_xlfn.IFS(_xlfn.SINGLE(calls[Duration])&lt;30,"UNDER 30 MINS",_xlfn.SINGLE(calls[Duration])&lt;60,"30 T0 60 MINS",_xlfn.SINGLE(calls[Duration])&lt;120,"1 TO 2 HRS",TRUE,"ABOVE 2 HRS")</f>
        <v>1 TO 2 HRS</v>
      </c>
    </row>
    <row r="81" spans="1:14" x14ac:dyDescent="0.3">
      <c r="A81" t="s">
        <v>115</v>
      </c>
      <c r="B81" t="s">
        <v>39</v>
      </c>
      <c r="C81">
        <v>79</v>
      </c>
      <c r="D81" t="s">
        <v>42</v>
      </c>
      <c r="E81" s="1">
        <v>44958</v>
      </c>
      <c r="F81">
        <v>148</v>
      </c>
      <c r="G81">
        <v>4.5</v>
      </c>
      <c r="H81" t="str">
        <f>TEXT(calls[[#This Row],[Date of Call]],"DDDD")</f>
        <v>Wednesday</v>
      </c>
      <c r="I81">
        <f>ROUND(calls[[#This Row],[Satisfaction Rating]],0)</f>
        <v>5</v>
      </c>
      <c r="N81" t="str" cm="1">
        <f t="array" ref="N81">_xlfn.IFS(_xlfn.SINGLE(calls[Duration])&lt;30,"UNDER 30 MINS",_xlfn.SINGLE(calls[Duration])&lt;60,"30 T0 60 MINS",_xlfn.SINGLE(calls[Duration])&lt;120,"1 TO 2 HRS",TRUE,"ABOVE 2 HRS")</f>
        <v>1 TO 2 HRS</v>
      </c>
    </row>
    <row r="82" spans="1:14" x14ac:dyDescent="0.3">
      <c r="A82" t="s">
        <v>116</v>
      </c>
      <c r="B82" t="s">
        <v>41</v>
      </c>
      <c r="C82">
        <v>45</v>
      </c>
      <c r="D82" t="s">
        <v>36</v>
      </c>
      <c r="E82" s="1">
        <v>44958</v>
      </c>
      <c r="F82">
        <v>34</v>
      </c>
      <c r="G82">
        <v>3.7</v>
      </c>
      <c r="H82" t="str">
        <f>TEXT(calls[[#This Row],[Date of Call]],"DDDD")</f>
        <v>Wednesday</v>
      </c>
      <c r="I82">
        <f>ROUND(calls[[#This Row],[Satisfaction Rating]],0)</f>
        <v>4</v>
      </c>
      <c r="N82" t="str" cm="1">
        <f t="array" ref="N82">_xlfn.IFS(_xlfn.SINGLE(calls[Duration])&lt;30,"UNDER 30 MINS",_xlfn.SINGLE(calls[Duration])&lt;60,"30 T0 60 MINS",_xlfn.SINGLE(calls[Duration])&lt;120,"1 TO 2 HRS",TRUE,"ABOVE 2 HRS")</f>
        <v>30 T0 60 MINS</v>
      </c>
    </row>
    <row r="83" spans="1:14" x14ac:dyDescent="0.3">
      <c r="A83" t="s">
        <v>117</v>
      </c>
      <c r="B83" t="s">
        <v>28</v>
      </c>
      <c r="C83">
        <v>137</v>
      </c>
      <c r="D83" t="s">
        <v>42</v>
      </c>
      <c r="E83" s="1">
        <v>44958</v>
      </c>
      <c r="F83">
        <v>86</v>
      </c>
      <c r="G83">
        <v>4.8</v>
      </c>
      <c r="H83" t="str">
        <f>TEXT(calls[[#This Row],[Date of Call]],"DDDD")</f>
        <v>Wednesday</v>
      </c>
      <c r="I83">
        <f>ROUND(calls[[#This Row],[Satisfaction Rating]],0)</f>
        <v>5</v>
      </c>
      <c r="N83" t="str" cm="1">
        <f t="array" ref="N83">_xlfn.IFS(_xlfn.SINGLE(calls[Duration])&lt;30,"UNDER 30 MINS",_xlfn.SINGLE(calls[Duration])&lt;60,"30 T0 60 MINS",_xlfn.SINGLE(calls[Duration])&lt;120,"1 TO 2 HRS",TRUE,"ABOVE 2 HRS")</f>
        <v>ABOVE 2 HRS</v>
      </c>
    </row>
    <row r="84" spans="1:14" x14ac:dyDescent="0.3">
      <c r="A84" t="s">
        <v>118</v>
      </c>
      <c r="B84" t="s">
        <v>37</v>
      </c>
      <c r="C84">
        <v>109</v>
      </c>
      <c r="D84" t="s">
        <v>13</v>
      </c>
      <c r="E84" s="1">
        <v>44958</v>
      </c>
      <c r="F84">
        <v>105</v>
      </c>
      <c r="G84">
        <v>3.3</v>
      </c>
      <c r="H84" t="str">
        <f>TEXT(calls[[#This Row],[Date of Call]],"DDDD")</f>
        <v>Wednesday</v>
      </c>
      <c r="I84">
        <f>ROUND(calls[[#This Row],[Satisfaction Rating]],0)</f>
        <v>3</v>
      </c>
      <c r="N84" t="str" cm="1">
        <f t="array" ref="N84">_xlfn.IFS(_xlfn.SINGLE(calls[Duration])&lt;30,"UNDER 30 MINS",_xlfn.SINGLE(calls[Duration])&lt;60,"30 T0 60 MINS",_xlfn.SINGLE(calls[Duration])&lt;120,"1 TO 2 HRS",TRUE,"ABOVE 2 HRS")</f>
        <v>1 TO 2 HRS</v>
      </c>
    </row>
    <row r="85" spans="1:14" x14ac:dyDescent="0.3">
      <c r="A85" t="s">
        <v>119</v>
      </c>
      <c r="B85" t="s">
        <v>18</v>
      </c>
      <c r="C85">
        <v>78</v>
      </c>
      <c r="D85" t="s">
        <v>13</v>
      </c>
      <c r="E85" s="1">
        <v>44958</v>
      </c>
      <c r="F85">
        <v>62</v>
      </c>
      <c r="G85">
        <v>3.1</v>
      </c>
      <c r="H85" t="str">
        <f>TEXT(calls[[#This Row],[Date of Call]],"DDDD")</f>
        <v>Wednesday</v>
      </c>
      <c r="I85">
        <f>ROUND(calls[[#This Row],[Satisfaction Rating]],0)</f>
        <v>3</v>
      </c>
      <c r="N85" t="str" cm="1">
        <f t="array" ref="N85">_xlfn.IFS(_xlfn.SINGLE(calls[Duration])&lt;30,"UNDER 30 MINS",_xlfn.SINGLE(calls[Duration])&lt;60,"30 T0 60 MINS",_xlfn.SINGLE(calls[Duration])&lt;120,"1 TO 2 HRS",TRUE,"ABOVE 2 HRS")</f>
        <v>1 TO 2 HRS</v>
      </c>
    </row>
    <row r="86" spans="1:14" x14ac:dyDescent="0.3">
      <c r="A86" t="s">
        <v>120</v>
      </c>
      <c r="B86" t="s">
        <v>28</v>
      </c>
      <c r="C86">
        <v>137</v>
      </c>
      <c r="D86" t="s">
        <v>36</v>
      </c>
      <c r="E86" s="1">
        <v>44958</v>
      </c>
      <c r="F86">
        <v>90</v>
      </c>
      <c r="G86">
        <v>4.0999999999999996</v>
      </c>
      <c r="H86" t="str">
        <f>TEXT(calls[[#This Row],[Date of Call]],"DDDD")</f>
        <v>Wednesday</v>
      </c>
      <c r="I86">
        <f>ROUND(calls[[#This Row],[Satisfaction Rating]],0)</f>
        <v>4</v>
      </c>
      <c r="N86" t="str" cm="1">
        <f t="array" ref="N86">_xlfn.IFS(_xlfn.SINGLE(calls[Duration])&lt;30,"UNDER 30 MINS",_xlfn.SINGLE(calls[Duration])&lt;60,"30 T0 60 MINS",_xlfn.SINGLE(calls[Duration])&lt;120,"1 TO 2 HRS",TRUE,"ABOVE 2 HRS")</f>
        <v>ABOVE 2 HRS</v>
      </c>
    </row>
    <row r="87" spans="1:14" x14ac:dyDescent="0.3">
      <c r="A87" t="s">
        <v>121</v>
      </c>
      <c r="B87" t="s">
        <v>26</v>
      </c>
      <c r="C87">
        <v>99</v>
      </c>
      <c r="D87" t="s">
        <v>13</v>
      </c>
      <c r="E87" s="1">
        <v>44959</v>
      </c>
      <c r="F87">
        <v>112</v>
      </c>
      <c r="G87">
        <v>4.9000000000000004</v>
      </c>
      <c r="H87" t="str">
        <f>TEXT(calls[[#This Row],[Date of Call]],"DDDD")</f>
        <v>Thursday</v>
      </c>
      <c r="I87">
        <f>ROUND(calls[[#This Row],[Satisfaction Rating]],0)</f>
        <v>5</v>
      </c>
      <c r="N87" t="str" cm="1">
        <f t="array" ref="N87">_xlfn.IFS(_xlfn.SINGLE(calls[Duration])&lt;30,"UNDER 30 MINS",_xlfn.SINGLE(calls[Duration])&lt;60,"30 T0 60 MINS",_xlfn.SINGLE(calls[Duration])&lt;120,"1 TO 2 HRS",TRUE,"ABOVE 2 HRS")</f>
        <v>1 TO 2 HRS</v>
      </c>
    </row>
    <row r="88" spans="1:14" x14ac:dyDescent="0.3">
      <c r="A88" t="s">
        <v>122</v>
      </c>
      <c r="B88" t="s">
        <v>50</v>
      </c>
      <c r="C88">
        <v>100</v>
      </c>
      <c r="D88" t="s">
        <v>13</v>
      </c>
      <c r="E88" s="1">
        <v>44959</v>
      </c>
      <c r="F88">
        <v>135</v>
      </c>
      <c r="G88">
        <v>4</v>
      </c>
      <c r="H88" t="str">
        <f>TEXT(calls[[#This Row],[Date of Call]],"DDDD")</f>
        <v>Thursday</v>
      </c>
      <c r="I88">
        <f>ROUND(calls[[#This Row],[Satisfaction Rating]],0)</f>
        <v>4</v>
      </c>
      <c r="N88" t="str" cm="1">
        <f t="array" ref="N88">_xlfn.IFS(_xlfn.SINGLE(calls[Duration])&lt;30,"UNDER 30 MINS",_xlfn.SINGLE(calls[Duration])&lt;60,"30 T0 60 MINS",_xlfn.SINGLE(calls[Duration])&lt;120,"1 TO 2 HRS",TRUE,"ABOVE 2 HRS")</f>
        <v>1 TO 2 HRS</v>
      </c>
    </row>
    <row r="89" spans="1:14" x14ac:dyDescent="0.3">
      <c r="A89" t="s">
        <v>123</v>
      </c>
      <c r="B89" t="s">
        <v>18</v>
      </c>
      <c r="C89">
        <v>47</v>
      </c>
      <c r="D89" t="s">
        <v>23</v>
      </c>
      <c r="E89" s="1">
        <v>44959</v>
      </c>
      <c r="F89">
        <v>34</v>
      </c>
      <c r="G89">
        <v>2.1</v>
      </c>
      <c r="H89" t="str">
        <f>TEXT(calls[[#This Row],[Date of Call]],"DDDD")</f>
        <v>Thursday</v>
      </c>
      <c r="I89">
        <f>ROUND(calls[[#This Row],[Satisfaction Rating]],0)</f>
        <v>2</v>
      </c>
      <c r="N89" t="str" cm="1">
        <f t="array" ref="N89">_xlfn.IFS(_xlfn.SINGLE(calls[Duration])&lt;30,"UNDER 30 MINS",_xlfn.SINGLE(calls[Duration])&lt;60,"30 T0 60 MINS",_xlfn.SINGLE(calls[Duration])&lt;120,"1 TO 2 HRS",TRUE,"ABOVE 2 HRS")</f>
        <v>30 T0 60 MINS</v>
      </c>
    </row>
    <row r="90" spans="1:14" x14ac:dyDescent="0.3">
      <c r="A90" t="s">
        <v>124</v>
      </c>
      <c r="B90" t="s">
        <v>37</v>
      </c>
      <c r="C90">
        <v>87</v>
      </c>
      <c r="D90" t="s">
        <v>29</v>
      </c>
      <c r="E90" s="1">
        <v>44959</v>
      </c>
      <c r="F90">
        <v>155</v>
      </c>
      <c r="G90">
        <v>4.5</v>
      </c>
      <c r="H90" t="str">
        <f>TEXT(calls[[#This Row],[Date of Call]],"DDDD")</f>
        <v>Thursday</v>
      </c>
      <c r="I90">
        <f>ROUND(calls[[#This Row],[Satisfaction Rating]],0)</f>
        <v>5</v>
      </c>
      <c r="N90" t="str" cm="1">
        <f t="array" ref="N90">_xlfn.IFS(_xlfn.SINGLE(calls[Duration])&lt;30,"UNDER 30 MINS",_xlfn.SINGLE(calls[Duration])&lt;60,"30 T0 60 MINS",_xlfn.SINGLE(calls[Duration])&lt;120,"1 TO 2 HRS",TRUE,"ABOVE 2 HRS")</f>
        <v>1 TO 2 HRS</v>
      </c>
    </row>
    <row r="91" spans="1:14" x14ac:dyDescent="0.3">
      <c r="A91" t="s">
        <v>125</v>
      </c>
      <c r="B91" t="s">
        <v>26</v>
      </c>
      <c r="C91">
        <v>143</v>
      </c>
      <c r="D91" t="s">
        <v>29</v>
      </c>
      <c r="E91" s="1">
        <v>44961</v>
      </c>
      <c r="F91">
        <v>124</v>
      </c>
      <c r="G91">
        <v>4.9000000000000004</v>
      </c>
      <c r="H91" t="str">
        <f>TEXT(calls[[#This Row],[Date of Call]],"DDDD")</f>
        <v>Saturday</v>
      </c>
      <c r="I91">
        <f>ROUND(calls[[#This Row],[Satisfaction Rating]],0)</f>
        <v>5</v>
      </c>
      <c r="N91" t="str" cm="1">
        <f t="array" ref="N91">_xlfn.IFS(_xlfn.SINGLE(calls[Duration])&lt;30,"UNDER 30 MINS",_xlfn.SINGLE(calls[Duration])&lt;60,"30 T0 60 MINS",_xlfn.SINGLE(calls[Duration])&lt;120,"1 TO 2 HRS",TRUE,"ABOVE 2 HRS")</f>
        <v>ABOVE 2 HRS</v>
      </c>
    </row>
    <row r="92" spans="1:14" x14ac:dyDescent="0.3">
      <c r="A92" t="s">
        <v>126</v>
      </c>
      <c r="B92" t="s">
        <v>50</v>
      </c>
      <c r="C92">
        <v>84</v>
      </c>
      <c r="D92" t="s">
        <v>13</v>
      </c>
      <c r="E92" s="1">
        <v>44961</v>
      </c>
      <c r="F92">
        <v>195</v>
      </c>
      <c r="G92">
        <v>4.0999999999999996</v>
      </c>
      <c r="H92" t="str">
        <f>TEXT(calls[[#This Row],[Date of Call]],"DDDD")</f>
        <v>Saturday</v>
      </c>
      <c r="I92">
        <f>ROUND(calls[[#This Row],[Satisfaction Rating]],0)</f>
        <v>4</v>
      </c>
      <c r="N92" t="str" cm="1">
        <f t="array" ref="N92">_xlfn.IFS(_xlfn.SINGLE(calls[Duration])&lt;30,"UNDER 30 MINS",_xlfn.SINGLE(calls[Duration])&lt;60,"30 T0 60 MINS",_xlfn.SINGLE(calls[Duration])&lt;120,"1 TO 2 HRS",TRUE,"ABOVE 2 HRS")</f>
        <v>1 TO 2 HRS</v>
      </c>
    </row>
    <row r="93" spans="1:14" x14ac:dyDescent="0.3">
      <c r="A93" t="s">
        <v>127</v>
      </c>
      <c r="B93" t="s">
        <v>14</v>
      </c>
      <c r="C93">
        <v>55</v>
      </c>
      <c r="D93" t="s">
        <v>29</v>
      </c>
      <c r="E93" s="1">
        <v>44962</v>
      </c>
      <c r="F93">
        <v>78</v>
      </c>
      <c r="G93">
        <v>4.5</v>
      </c>
      <c r="H93" t="str">
        <f>TEXT(calls[[#This Row],[Date of Call]],"DDDD")</f>
        <v>Sunday</v>
      </c>
      <c r="I93">
        <f>ROUND(calls[[#This Row],[Satisfaction Rating]],0)</f>
        <v>5</v>
      </c>
      <c r="N93" t="str" cm="1">
        <f t="array" ref="N93">_xlfn.IFS(_xlfn.SINGLE(calls[Duration])&lt;30,"UNDER 30 MINS",_xlfn.SINGLE(calls[Duration])&lt;60,"30 T0 60 MINS",_xlfn.SINGLE(calls[Duration])&lt;120,"1 TO 2 HRS",TRUE,"ABOVE 2 HRS")</f>
        <v>30 T0 60 MINS</v>
      </c>
    </row>
    <row r="94" spans="1:14" x14ac:dyDescent="0.3">
      <c r="A94" t="s">
        <v>128</v>
      </c>
      <c r="B94" t="s">
        <v>33</v>
      </c>
      <c r="C94">
        <v>135</v>
      </c>
      <c r="D94" t="s">
        <v>36</v>
      </c>
      <c r="E94" s="1">
        <v>44964</v>
      </c>
      <c r="F94">
        <v>35</v>
      </c>
      <c r="G94">
        <v>4.8</v>
      </c>
      <c r="H94" t="str">
        <f>TEXT(calls[[#This Row],[Date of Call]],"DDDD")</f>
        <v>Tuesday</v>
      </c>
      <c r="I94">
        <f>ROUND(calls[[#This Row],[Satisfaction Rating]],0)</f>
        <v>5</v>
      </c>
      <c r="N94" t="str" cm="1">
        <f t="array" ref="N94">_xlfn.IFS(_xlfn.SINGLE(calls[Duration])&lt;30,"UNDER 30 MINS",_xlfn.SINGLE(calls[Duration])&lt;60,"30 T0 60 MINS",_xlfn.SINGLE(calls[Duration])&lt;120,"1 TO 2 HRS",TRUE,"ABOVE 2 HRS")</f>
        <v>ABOVE 2 HRS</v>
      </c>
    </row>
    <row r="95" spans="1:14" x14ac:dyDescent="0.3">
      <c r="A95" t="s">
        <v>129</v>
      </c>
      <c r="B95" t="s">
        <v>46</v>
      </c>
      <c r="C95">
        <v>152</v>
      </c>
      <c r="D95" t="s">
        <v>23</v>
      </c>
      <c r="E95" s="1">
        <v>44964</v>
      </c>
      <c r="F95">
        <v>123</v>
      </c>
      <c r="G95">
        <v>4.5999999999999996</v>
      </c>
      <c r="H95" t="str">
        <f>TEXT(calls[[#This Row],[Date of Call]],"DDDD")</f>
        <v>Tuesday</v>
      </c>
      <c r="I95">
        <f>ROUND(calls[[#This Row],[Satisfaction Rating]],0)</f>
        <v>5</v>
      </c>
      <c r="N95" t="str" cm="1">
        <f t="array" ref="N95">_xlfn.IFS(_xlfn.SINGLE(calls[Duration])&lt;30,"UNDER 30 MINS",_xlfn.SINGLE(calls[Duration])&lt;60,"30 T0 60 MINS",_xlfn.SINGLE(calls[Duration])&lt;120,"1 TO 2 HRS",TRUE,"ABOVE 2 HRS")</f>
        <v>ABOVE 2 HRS</v>
      </c>
    </row>
    <row r="96" spans="1:14" x14ac:dyDescent="0.3">
      <c r="A96" t="s">
        <v>130</v>
      </c>
      <c r="B96" t="s">
        <v>22</v>
      </c>
      <c r="C96">
        <v>132</v>
      </c>
      <c r="D96" t="s">
        <v>23</v>
      </c>
      <c r="E96" s="1">
        <v>44964</v>
      </c>
      <c r="F96">
        <v>43</v>
      </c>
      <c r="G96">
        <v>4.5999999999999996</v>
      </c>
      <c r="H96" t="str">
        <f>TEXT(calls[[#This Row],[Date of Call]],"DDDD")</f>
        <v>Tuesday</v>
      </c>
      <c r="I96">
        <f>ROUND(calls[[#This Row],[Satisfaction Rating]],0)</f>
        <v>5</v>
      </c>
      <c r="N96" t="str" cm="1">
        <f t="array" ref="N96">_xlfn.IFS(_xlfn.SINGLE(calls[Duration])&lt;30,"UNDER 30 MINS",_xlfn.SINGLE(calls[Duration])&lt;60,"30 T0 60 MINS",_xlfn.SINGLE(calls[Duration])&lt;120,"1 TO 2 HRS",TRUE,"ABOVE 2 HRS")</f>
        <v>ABOVE 2 HRS</v>
      </c>
    </row>
    <row r="97" spans="1:14" x14ac:dyDescent="0.3">
      <c r="A97" t="s">
        <v>131</v>
      </c>
      <c r="B97" t="s">
        <v>31</v>
      </c>
      <c r="C97">
        <v>60</v>
      </c>
      <c r="D97" t="s">
        <v>13</v>
      </c>
      <c r="E97" s="1">
        <v>44965</v>
      </c>
      <c r="F97">
        <v>69</v>
      </c>
      <c r="G97">
        <v>4.3</v>
      </c>
      <c r="H97" t="str">
        <f>TEXT(calls[[#This Row],[Date of Call]],"DDDD")</f>
        <v>Wednesday</v>
      </c>
      <c r="I97">
        <f>ROUND(calls[[#This Row],[Satisfaction Rating]],0)</f>
        <v>4</v>
      </c>
      <c r="N97" t="str" cm="1">
        <f t="array" ref="N97">_xlfn.IFS(_xlfn.SINGLE(calls[Duration])&lt;30,"UNDER 30 MINS",_xlfn.SINGLE(calls[Duration])&lt;60,"30 T0 60 MINS",_xlfn.SINGLE(calls[Duration])&lt;120,"1 TO 2 HRS",TRUE,"ABOVE 2 HRS")</f>
        <v>1 TO 2 HRS</v>
      </c>
    </row>
    <row r="98" spans="1:14" x14ac:dyDescent="0.3">
      <c r="A98" t="s">
        <v>132</v>
      </c>
      <c r="B98" t="s">
        <v>46</v>
      </c>
      <c r="C98">
        <v>95</v>
      </c>
      <c r="D98" t="s">
        <v>23</v>
      </c>
      <c r="E98" s="1">
        <v>44965</v>
      </c>
      <c r="F98">
        <v>130</v>
      </c>
      <c r="G98">
        <v>5</v>
      </c>
      <c r="H98" t="str">
        <f>TEXT(calls[[#This Row],[Date of Call]],"DDDD")</f>
        <v>Wednesday</v>
      </c>
      <c r="I98">
        <f>ROUND(calls[[#This Row],[Satisfaction Rating]],0)</f>
        <v>5</v>
      </c>
      <c r="N98" t="str" cm="1">
        <f t="array" ref="N98">_xlfn.IFS(_xlfn.SINGLE(calls[Duration])&lt;30,"UNDER 30 MINS",_xlfn.SINGLE(calls[Duration])&lt;60,"30 T0 60 MINS",_xlfn.SINGLE(calls[Duration])&lt;120,"1 TO 2 HRS",TRUE,"ABOVE 2 HRS")</f>
        <v>1 TO 2 HRS</v>
      </c>
    </row>
    <row r="99" spans="1:14" x14ac:dyDescent="0.3">
      <c r="A99" t="s">
        <v>133</v>
      </c>
      <c r="B99" t="s">
        <v>12</v>
      </c>
      <c r="C99">
        <v>96</v>
      </c>
      <c r="D99" t="s">
        <v>42</v>
      </c>
      <c r="E99" s="1">
        <v>44965</v>
      </c>
      <c r="F99">
        <v>120</v>
      </c>
      <c r="G99">
        <v>4</v>
      </c>
      <c r="H99" t="str">
        <f>TEXT(calls[[#This Row],[Date of Call]],"DDDD")</f>
        <v>Wednesday</v>
      </c>
      <c r="I99">
        <f>ROUND(calls[[#This Row],[Satisfaction Rating]],0)</f>
        <v>4</v>
      </c>
      <c r="N99" t="str" cm="1">
        <f t="array" ref="N99">_xlfn.IFS(_xlfn.SINGLE(calls[Duration])&lt;30,"UNDER 30 MINS",_xlfn.SINGLE(calls[Duration])&lt;60,"30 T0 60 MINS",_xlfn.SINGLE(calls[Duration])&lt;120,"1 TO 2 HRS",TRUE,"ABOVE 2 HRS")</f>
        <v>1 TO 2 HRS</v>
      </c>
    </row>
    <row r="100" spans="1:14" x14ac:dyDescent="0.3">
      <c r="A100" t="s">
        <v>134</v>
      </c>
      <c r="B100" t="s">
        <v>14</v>
      </c>
      <c r="C100">
        <v>45</v>
      </c>
      <c r="D100" t="s">
        <v>13</v>
      </c>
      <c r="E100" s="1">
        <v>44966</v>
      </c>
      <c r="F100">
        <v>84</v>
      </c>
      <c r="G100">
        <v>4.5999999999999996</v>
      </c>
      <c r="H100" t="str">
        <f>TEXT(calls[[#This Row],[Date of Call]],"DDDD")</f>
        <v>Thursday</v>
      </c>
      <c r="I100">
        <f>ROUND(calls[[#This Row],[Satisfaction Rating]],0)</f>
        <v>5</v>
      </c>
      <c r="N100" t="str" cm="1">
        <f t="array" ref="N100">_xlfn.IFS(_xlfn.SINGLE(calls[Duration])&lt;30,"UNDER 30 MINS",_xlfn.SINGLE(calls[Duration])&lt;60,"30 T0 60 MINS",_xlfn.SINGLE(calls[Duration])&lt;120,"1 TO 2 HRS",TRUE,"ABOVE 2 HRS")</f>
        <v>30 T0 60 MINS</v>
      </c>
    </row>
    <row r="101" spans="1:14" x14ac:dyDescent="0.3">
      <c r="A101" t="s">
        <v>135</v>
      </c>
      <c r="B101" t="s">
        <v>12</v>
      </c>
      <c r="C101">
        <v>132</v>
      </c>
      <c r="D101" t="s">
        <v>42</v>
      </c>
      <c r="E101" s="1">
        <v>44967</v>
      </c>
      <c r="F101">
        <v>112</v>
      </c>
      <c r="G101">
        <v>4.5</v>
      </c>
      <c r="H101" t="str">
        <f>TEXT(calls[[#This Row],[Date of Call]],"DDDD")</f>
        <v>Friday</v>
      </c>
      <c r="I101">
        <f>ROUND(calls[[#This Row],[Satisfaction Rating]],0)</f>
        <v>5</v>
      </c>
      <c r="N101" t="str" cm="1">
        <f t="array" ref="N101">_xlfn.IFS(_xlfn.SINGLE(calls[Duration])&lt;30,"UNDER 30 MINS",_xlfn.SINGLE(calls[Duration])&lt;60,"30 T0 60 MINS",_xlfn.SINGLE(calls[Duration])&lt;120,"1 TO 2 HRS",TRUE,"ABOVE 2 HRS")</f>
        <v>ABOVE 2 HRS</v>
      </c>
    </row>
    <row r="102" spans="1:14" x14ac:dyDescent="0.3">
      <c r="A102" t="s">
        <v>136</v>
      </c>
      <c r="B102" t="s">
        <v>45</v>
      </c>
      <c r="C102">
        <v>95</v>
      </c>
      <c r="D102" t="s">
        <v>13</v>
      </c>
      <c r="E102" s="1">
        <v>44967</v>
      </c>
      <c r="F102">
        <v>66</v>
      </c>
      <c r="G102">
        <v>4.5999999999999996</v>
      </c>
      <c r="H102" t="str">
        <f>TEXT(calls[[#This Row],[Date of Call]],"DDDD")</f>
        <v>Friday</v>
      </c>
      <c r="I102">
        <f>ROUND(calls[[#This Row],[Satisfaction Rating]],0)</f>
        <v>5</v>
      </c>
      <c r="N102" t="str" cm="1">
        <f t="array" ref="N102">_xlfn.IFS(_xlfn.SINGLE(calls[Duration])&lt;30,"UNDER 30 MINS",_xlfn.SINGLE(calls[Duration])&lt;60,"30 T0 60 MINS",_xlfn.SINGLE(calls[Duration])&lt;120,"1 TO 2 HRS",TRUE,"ABOVE 2 HRS")</f>
        <v>1 TO 2 HRS</v>
      </c>
    </row>
    <row r="103" spans="1:14" x14ac:dyDescent="0.3">
      <c r="A103" t="s">
        <v>137</v>
      </c>
      <c r="B103" t="s">
        <v>46</v>
      </c>
      <c r="C103">
        <v>131</v>
      </c>
      <c r="D103" t="s">
        <v>29</v>
      </c>
      <c r="E103" s="1">
        <v>44967</v>
      </c>
      <c r="F103">
        <v>172</v>
      </c>
      <c r="G103">
        <v>2.6</v>
      </c>
      <c r="H103" t="str">
        <f>TEXT(calls[[#This Row],[Date of Call]],"DDDD")</f>
        <v>Friday</v>
      </c>
      <c r="I103">
        <f>ROUND(calls[[#This Row],[Satisfaction Rating]],0)</f>
        <v>3</v>
      </c>
      <c r="N103" t="str" cm="1">
        <f t="array" ref="N103">_xlfn.IFS(_xlfn.SINGLE(calls[Duration])&lt;30,"UNDER 30 MINS",_xlfn.SINGLE(calls[Duration])&lt;60,"30 T0 60 MINS",_xlfn.SINGLE(calls[Duration])&lt;120,"1 TO 2 HRS",TRUE,"ABOVE 2 HRS")</f>
        <v>ABOVE 2 HRS</v>
      </c>
    </row>
    <row r="104" spans="1:14" x14ac:dyDescent="0.3">
      <c r="A104" t="s">
        <v>138</v>
      </c>
      <c r="B104" t="s">
        <v>39</v>
      </c>
      <c r="C104">
        <v>67</v>
      </c>
      <c r="D104" t="s">
        <v>36</v>
      </c>
      <c r="E104" s="1">
        <v>44968</v>
      </c>
      <c r="F104">
        <v>24</v>
      </c>
      <c r="G104">
        <v>4.3</v>
      </c>
      <c r="H104" t="str">
        <f>TEXT(calls[[#This Row],[Date of Call]],"DDDD")</f>
        <v>Saturday</v>
      </c>
      <c r="I104">
        <f>ROUND(calls[[#This Row],[Satisfaction Rating]],0)</f>
        <v>4</v>
      </c>
      <c r="N104" t="str" cm="1">
        <f t="array" ref="N104">_xlfn.IFS(_xlfn.SINGLE(calls[Duration])&lt;30,"UNDER 30 MINS",_xlfn.SINGLE(calls[Duration])&lt;60,"30 T0 60 MINS",_xlfn.SINGLE(calls[Duration])&lt;120,"1 TO 2 HRS",TRUE,"ABOVE 2 HRS")</f>
        <v>1 TO 2 HRS</v>
      </c>
    </row>
    <row r="105" spans="1:14" x14ac:dyDescent="0.3">
      <c r="A105" t="s">
        <v>139</v>
      </c>
      <c r="B105" t="s">
        <v>26</v>
      </c>
      <c r="C105">
        <v>111</v>
      </c>
      <c r="D105" t="s">
        <v>29</v>
      </c>
      <c r="E105" s="1">
        <v>44969</v>
      </c>
      <c r="F105">
        <v>43</v>
      </c>
      <c r="G105">
        <v>3.9</v>
      </c>
      <c r="H105" t="str">
        <f>TEXT(calls[[#This Row],[Date of Call]],"DDDD")</f>
        <v>Sunday</v>
      </c>
      <c r="I105">
        <f>ROUND(calls[[#This Row],[Satisfaction Rating]],0)</f>
        <v>4</v>
      </c>
      <c r="N105" t="str" cm="1">
        <f t="array" ref="N105">_xlfn.IFS(_xlfn.SINGLE(calls[Duration])&lt;30,"UNDER 30 MINS",_xlfn.SINGLE(calls[Duration])&lt;60,"30 T0 60 MINS",_xlfn.SINGLE(calls[Duration])&lt;120,"1 TO 2 HRS",TRUE,"ABOVE 2 HRS")</f>
        <v>1 TO 2 HRS</v>
      </c>
    </row>
    <row r="106" spans="1:14" x14ac:dyDescent="0.3">
      <c r="A106" t="s">
        <v>140</v>
      </c>
      <c r="B106" t="s">
        <v>22</v>
      </c>
      <c r="C106">
        <v>78</v>
      </c>
      <c r="D106" t="s">
        <v>23</v>
      </c>
      <c r="E106" s="1">
        <v>44969</v>
      </c>
      <c r="F106">
        <v>23</v>
      </c>
      <c r="G106">
        <v>5</v>
      </c>
      <c r="H106" t="str">
        <f>TEXT(calls[[#This Row],[Date of Call]],"DDDD")</f>
        <v>Sunday</v>
      </c>
      <c r="I106">
        <f>ROUND(calls[[#This Row],[Satisfaction Rating]],0)</f>
        <v>5</v>
      </c>
      <c r="N106" t="str" cm="1">
        <f t="array" ref="N106">_xlfn.IFS(_xlfn.SINGLE(calls[Duration])&lt;30,"UNDER 30 MINS",_xlfn.SINGLE(calls[Duration])&lt;60,"30 T0 60 MINS",_xlfn.SINGLE(calls[Duration])&lt;120,"1 TO 2 HRS",TRUE,"ABOVE 2 HRS")</f>
        <v>1 TO 2 HRS</v>
      </c>
    </row>
    <row r="107" spans="1:14" x14ac:dyDescent="0.3">
      <c r="A107" t="s">
        <v>141</v>
      </c>
      <c r="B107" t="s">
        <v>19</v>
      </c>
      <c r="C107">
        <v>28</v>
      </c>
      <c r="D107" t="s">
        <v>42</v>
      </c>
      <c r="E107" s="1">
        <v>44969</v>
      </c>
      <c r="F107">
        <v>74</v>
      </c>
      <c r="G107">
        <v>3.5</v>
      </c>
      <c r="H107" t="str">
        <f>TEXT(calls[[#This Row],[Date of Call]],"DDDD")</f>
        <v>Sunday</v>
      </c>
      <c r="I107">
        <f>ROUND(calls[[#This Row],[Satisfaction Rating]],0)</f>
        <v>4</v>
      </c>
      <c r="N107" t="str" cm="1">
        <f t="array" ref="N107">_xlfn.IFS(_xlfn.SINGLE(calls[Duration])&lt;30,"UNDER 30 MINS",_xlfn.SINGLE(calls[Duration])&lt;60,"30 T0 60 MINS",_xlfn.SINGLE(calls[Duration])&lt;120,"1 TO 2 HRS",TRUE,"ABOVE 2 HRS")</f>
        <v>UNDER 30 MINS</v>
      </c>
    </row>
    <row r="108" spans="1:14" x14ac:dyDescent="0.3">
      <c r="A108" t="s">
        <v>142</v>
      </c>
      <c r="B108" t="s">
        <v>18</v>
      </c>
      <c r="C108">
        <v>127</v>
      </c>
      <c r="D108" t="s">
        <v>36</v>
      </c>
      <c r="E108" s="1">
        <v>44970</v>
      </c>
      <c r="F108">
        <v>165</v>
      </c>
      <c r="G108">
        <v>4.7</v>
      </c>
      <c r="H108" t="str">
        <f>TEXT(calls[[#This Row],[Date of Call]],"DDDD")</f>
        <v>Monday</v>
      </c>
      <c r="I108">
        <f>ROUND(calls[[#This Row],[Satisfaction Rating]],0)</f>
        <v>5</v>
      </c>
      <c r="N108" t="str" cm="1">
        <f t="array" ref="N108">_xlfn.IFS(_xlfn.SINGLE(calls[Duration])&lt;30,"UNDER 30 MINS",_xlfn.SINGLE(calls[Duration])&lt;60,"30 T0 60 MINS",_xlfn.SINGLE(calls[Duration])&lt;120,"1 TO 2 HRS",TRUE,"ABOVE 2 HRS")</f>
        <v>ABOVE 2 HRS</v>
      </c>
    </row>
    <row r="109" spans="1:14" x14ac:dyDescent="0.3">
      <c r="A109" t="s">
        <v>143</v>
      </c>
      <c r="B109" t="s">
        <v>50</v>
      </c>
      <c r="C109">
        <v>137</v>
      </c>
      <c r="D109" t="s">
        <v>29</v>
      </c>
      <c r="E109" s="1">
        <v>44970</v>
      </c>
      <c r="F109">
        <v>34</v>
      </c>
      <c r="G109">
        <v>2.9</v>
      </c>
      <c r="H109" t="str">
        <f>TEXT(calls[[#This Row],[Date of Call]],"DDDD")</f>
        <v>Monday</v>
      </c>
      <c r="I109">
        <f>ROUND(calls[[#This Row],[Satisfaction Rating]],0)</f>
        <v>3</v>
      </c>
      <c r="N109" t="str" cm="1">
        <f t="array" ref="N109">_xlfn.IFS(_xlfn.SINGLE(calls[Duration])&lt;30,"UNDER 30 MINS",_xlfn.SINGLE(calls[Duration])&lt;60,"30 T0 60 MINS",_xlfn.SINGLE(calls[Duration])&lt;120,"1 TO 2 HRS",TRUE,"ABOVE 2 HRS")</f>
        <v>ABOVE 2 HRS</v>
      </c>
    </row>
    <row r="110" spans="1:14" x14ac:dyDescent="0.3">
      <c r="A110" t="s">
        <v>144</v>
      </c>
      <c r="B110" t="s">
        <v>18</v>
      </c>
      <c r="C110">
        <v>76</v>
      </c>
      <c r="D110" t="s">
        <v>42</v>
      </c>
      <c r="E110" s="1">
        <v>44970</v>
      </c>
      <c r="F110">
        <v>64</v>
      </c>
      <c r="G110">
        <v>3.4</v>
      </c>
      <c r="H110" t="str">
        <f>TEXT(calls[[#This Row],[Date of Call]],"DDDD")</f>
        <v>Monday</v>
      </c>
      <c r="I110">
        <f>ROUND(calls[[#This Row],[Satisfaction Rating]],0)</f>
        <v>3</v>
      </c>
      <c r="N110" t="str" cm="1">
        <f t="array" ref="N110">_xlfn.IFS(_xlfn.SINGLE(calls[Duration])&lt;30,"UNDER 30 MINS",_xlfn.SINGLE(calls[Duration])&lt;60,"30 T0 60 MINS",_xlfn.SINGLE(calls[Duration])&lt;120,"1 TO 2 HRS",TRUE,"ABOVE 2 HRS")</f>
        <v>1 TO 2 HRS</v>
      </c>
    </row>
    <row r="111" spans="1:14" x14ac:dyDescent="0.3">
      <c r="A111" t="s">
        <v>145</v>
      </c>
      <c r="B111" t="s">
        <v>22</v>
      </c>
      <c r="C111">
        <v>80</v>
      </c>
      <c r="D111" t="s">
        <v>36</v>
      </c>
      <c r="E111" s="1">
        <v>44971</v>
      </c>
      <c r="F111">
        <v>155</v>
      </c>
      <c r="G111">
        <v>3.2</v>
      </c>
      <c r="H111" t="str">
        <f>TEXT(calls[[#This Row],[Date of Call]],"DDDD")</f>
        <v>Tuesday</v>
      </c>
      <c r="I111">
        <f>ROUND(calls[[#This Row],[Satisfaction Rating]],0)</f>
        <v>3</v>
      </c>
      <c r="N111" t="str" cm="1">
        <f t="array" ref="N111">_xlfn.IFS(_xlfn.SINGLE(calls[Duration])&lt;30,"UNDER 30 MINS",_xlfn.SINGLE(calls[Duration])&lt;60,"30 T0 60 MINS",_xlfn.SINGLE(calls[Duration])&lt;120,"1 TO 2 HRS",TRUE,"ABOVE 2 HRS")</f>
        <v>1 TO 2 HRS</v>
      </c>
    </row>
    <row r="112" spans="1:14" x14ac:dyDescent="0.3">
      <c r="A112" t="s">
        <v>146</v>
      </c>
      <c r="B112" t="s">
        <v>18</v>
      </c>
      <c r="C112">
        <v>95</v>
      </c>
      <c r="D112" t="s">
        <v>23</v>
      </c>
      <c r="E112" s="1">
        <v>44972</v>
      </c>
      <c r="F112">
        <v>120</v>
      </c>
      <c r="G112">
        <v>4.8</v>
      </c>
      <c r="H112" t="str">
        <f>TEXT(calls[[#This Row],[Date of Call]],"DDDD")</f>
        <v>Wednesday</v>
      </c>
      <c r="I112">
        <f>ROUND(calls[[#This Row],[Satisfaction Rating]],0)</f>
        <v>5</v>
      </c>
      <c r="N112" t="str" cm="1">
        <f t="array" ref="N112">_xlfn.IFS(_xlfn.SINGLE(calls[Duration])&lt;30,"UNDER 30 MINS",_xlfn.SINGLE(calls[Duration])&lt;60,"30 T0 60 MINS",_xlfn.SINGLE(calls[Duration])&lt;120,"1 TO 2 HRS",TRUE,"ABOVE 2 HRS")</f>
        <v>1 TO 2 HRS</v>
      </c>
    </row>
    <row r="113" spans="1:14" x14ac:dyDescent="0.3">
      <c r="A113" t="s">
        <v>147</v>
      </c>
      <c r="B113" t="s">
        <v>31</v>
      </c>
      <c r="C113">
        <v>30</v>
      </c>
      <c r="D113" t="s">
        <v>42</v>
      </c>
      <c r="E113" s="1">
        <v>44972</v>
      </c>
      <c r="F113">
        <v>105</v>
      </c>
      <c r="G113">
        <v>3.6</v>
      </c>
      <c r="H113" t="str">
        <f>TEXT(calls[[#This Row],[Date of Call]],"DDDD")</f>
        <v>Wednesday</v>
      </c>
      <c r="I113">
        <f>ROUND(calls[[#This Row],[Satisfaction Rating]],0)</f>
        <v>4</v>
      </c>
      <c r="N113" t="str" cm="1">
        <f t="array" ref="N113">_xlfn.IFS(_xlfn.SINGLE(calls[Duration])&lt;30,"UNDER 30 MINS",_xlfn.SINGLE(calls[Duration])&lt;60,"30 T0 60 MINS",_xlfn.SINGLE(calls[Duration])&lt;120,"1 TO 2 HRS",TRUE,"ABOVE 2 HRS")</f>
        <v>30 T0 60 MINS</v>
      </c>
    </row>
    <row r="114" spans="1:14" x14ac:dyDescent="0.3">
      <c r="A114" t="s">
        <v>148</v>
      </c>
      <c r="B114" t="s">
        <v>28</v>
      </c>
      <c r="C114">
        <v>19</v>
      </c>
      <c r="D114" t="s">
        <v>29</v>
      </c>
      <c r="E114" s="1">
        <v>44972</v>
      </c>
      <c r="F114">
        <v>28</v>
      </c>
      <c r="G114">
        <v>4.9000000000000004</v>
      </c>
      <c r="H114" t="str">
        <f>TEXT(calls[[#This Row],[Date of Call]],"DDDD")</f>
        <v>Wednesday</v>
      </c>
      <c r="I114">
        <f>ROUND(calls[[#This Row],[Satisfaction Rating]],0)</f>
        <v>5</v>
      </c>
      <c r="N114" t="str" cm="1">
        <f t="array" ref="N114">_xlfn.IFS(_xlfn.SINGLE(calls[Duration])&lt;30,"UNDER 30 MINS",_xlfn.SINGLE(calls[Duration])&lt;60,"30 T0 60 MINS",_xlfn.SINGLE(calls[Duration])&lt;120,"1 TO 2 HRS",TRUE,"ABOVE 2 HRS")</f>
        <v>UNDER 30 MINS</v>
      </c>
    </row>
    <row r="115" spans="1:14" x14ac:dyDescent="0.3">
      <c r="A115" t="s">
        <v>149</v>
      </c>
      <c r="B115" t="s">
        <v>41</v>
      </c>
      <c r="C115">
        <v>38</v>
      </c>
      <c r="D115" t="s">
        <v>36</v>
      </c>
      <c r="E115" s="1">
        <v>44972</v>
      </c>
      <c r="F115">
        <v>100</v>
      </c>
      <c r="G115">
        <v>4.8</v>
      </c>
      <c r="H115" t="str">
        <f>TEXT(calls[[#This Row],[Date of Call]],"DDDD")</f>
        <v>Wednesday</v>
      </c>
      <c r="I115">
        <f>ROUND(calls[[#This Row],[Satisfaction Rating]],0)</f>
        <v>5</v>
      </c>
      <c r="N115" t="str" cm="1">
        <f t="array" ref="N115">_xlfn.IFS(_xlfn.SINGLE(calls[Duration])&lt;30,"UNDER 30 MINS",_xlfn.SINGLE(calls[Duration])&lt;60,"30 T0 60 MINS",_xlfn.SINGLE(calls[Duration])&lt;120,"1 TO 2 HRS",TRUE,"ABOVE 2 HRS")</f>
        <v>30 T0 60 MINS</v>
      </c>
    </row>
    <row r="116" spans="1:14" x14ac:dyDescent="0.3">
      <c r="A116" t="s">
        <v>150</v>
      </c>
      <c r="B116" t="s">
        <v>45</v>
      </c>
      <c r="C116">
        <v>55</v>
      </c>
      <c r="D116" t="s">
        <v>29</v>
      </c>
      <c r="E116" s="1">
        <v>44972</v>
      </c>
      <c r="F116">
        <v>23</v>
      </c>
      <c r="G116">
        <v>3.6</v>
      </c>
      <c r="H116" t="str">
        <f>TEXT(calls[[#This Row],[Date of Call]],"DDDD")</f>
        <v>Wednesday</v>
      </c>
      <c r="I116">
        <f>ROUND(calls[[#This Row],[Satisfaction Rating]],0)</f>
        <v>4</v>
      </c>
      <c r="N116" t="str" cm="1">
        <f t="array" ref="N116">_xlfn.IFS(_xlfn.SINGLE(calls[Duration])&lt;30,"UNDER 30 MINS",_xlfn.SINGLE(calls[Duration])&lt;60,"30 T0 60 MINS",_xlfn.SINGLE(calls[Duration])&lt;120,"1 TO 2 HRS",TRUE,"ABOVE 2 HRS")</f>
        <v>30 T0 60 MINS</v>
      </c>
    </row>
    <row r="117" spans="1:14" x14ac:dyDescent="0.3">
      <c r="A117" t="s">
        <v>151</v>
      </c>
      <c r="B117" t="s">
        <v>39</v>
      </c>
      <c r="C117">
        <v>27</v>
      </c>
      <c r="D117" t="s">
        <v>42</v>
      </c>
      <c r="E117" s="1">
        <v>44973</v>
      </c>
      <c r="F117">
        <v>70</v>
      </c>
      <c r="G117">
        <v>3.9</v>
      </c>
      <c r="H117" t="str">
        <f>TEXT(calls[[#This Row],[Date of Call]],"DDDD")</f>
        <v>Thursday</v>
      </c>
      <c r="I117">
        <f>ROUND(calls[[#This Row],[Satisfaction Rating]],0)</f>
        <v>4</v>
      </c>
      <c r="N117" t="str" cm="1">
        <f t="array" ref="N117">_xlfn.IFS(_xlfn.SINGLE(calls[Duration])&lt;30,"UNDER 30 MINS",_xlfn.SINGLE(calls[Duration])&lt;60,"30 T0 60 MINS",_xlfn.SINGLE(calls[Duration])&lt;120,"1 TO 2 HRS",TRUE,"ABOVE 2 HRS")</f>
        <v>UNDER 30 MINS</v>
      </c>
    </row>
    <row r="118" spans="1:14" x14ac:dyDescent="0.3">
      <c r="A118" t="s">
        <v>152</v>
      </c>
      <c r="B118" t="s">
        <v>39</v>
      </c>
      <c r="C118">
        <v>32</v>
      </c>
      <c r="D118" t="s">
        <v>42</v>
      </c>
      <c r="E118" s="1">
        <v>44973</v>
      </c>
      <c r="F118">
        <v>37</v>
      </c>
      <c r="G118">
        <v>1.9</v>
      </c>
      <c r="H118" t="str">
        <f>TEXT(calls[[#This Row],[Date of Call]],"DDDD")</f>
        <v>Thursday</v>
      </c>
      <c r="I118">
        <f>ROUND(calls[[#This Row],[Satisfaction Rating]],0)</f>
        <v>2</v>
      </c>
      <c r="N118" t="str" cm="1">
        <f t="array" ref="N118">_xlfn.IFS(_xlfn.SINGLE(calls[Duration])&lt;30,"UNDER 30 MINS",_xlfn.SINGLE(calls[Duration])&lt;60,"30 T0 60 MINS",_xlfn.SINGLE(calls[Duration])&lt;120,"1 TO 2 HRS",TRUE,"ABOVE 2 HRS")</f>
        <v>30 T0 60 MINS</v>
      </c>
    </row>
    <row r="119" spans="1:14" x14ac:dyDescent="0.3">
      <c r="A119" t="s">
        <v>153</v>
      </c>
      <c r="B119" t="s">
        <v>19</v>
      </c>
      <c r="C119">
        <v>116</v>
      </c>
      <c r="D119" t="s">
        <v>13</v>
      </c>
      <c r="E119" s="1">
        <v>44973</v>
      </c>
      <c r="F119">
        <v>140</v>
      </c>
      <c r="G119">
        <v>3.6</v>
      </c>
      <c r="H119" t="str">
        <f>TEXT(calls[[#This Row],[Date of Call]],"DDDD")</f>
        <v>Thursday</v>
      </c>
      <c r="I119">
        <f>ROUND(calls[[#This Row],[Satisfaction Rating]],0)</f>
        <v>4</v>
      </c>
      <c r="N119" t="str" cm="1">
        <f t="array" ref="N119">_xlfn.IFS(_xlfn.SINGLE(calls[Duration])&lt;30,"UNDER 30 MINS",_xlfn.SINGLE(calls[Duration])&lt;60,"30 T0 60 MINS",_xlfn.SINGLE(calls[Duration])&lt;120,"1 TO 2 HRS",TRUE,"ABOVE 2 HRS")</f>
        <v>1 TO 2 HRS</v>
      </c>
    </row>
    <row r="120" spans="1:14" x14ac:dyDescent="0.3">
      <c r="A120" t="s">
        <v>154</v>
      </c>
      <c r="B120" t="s">
        <v>12</v>
      </c>
      <c r="C120">
        <v>99</v>
      </c>
      <c r="D120" t="s">
        <v>23</v>
      </c>
      <c r="E120" s="1">
        <v>44973</v>
      </c>
      <c r="F120">
        <v>78</v>
      </c>
      <c r="G120">
        <v>4.0999999999999996</v>
      </c>
      <c r="H120" t="str">
        <f>TEXT(calls[[#This Row],[Date of Call]],"DDDD")</f>
        <v>Thursday</v>
      </c>
      <c r="I120">
        <f>ROUND(calls[[#This Row],[Satisfaction Rating]],0)</f>
        <v>4</v>
      </c>
      <c r="N120" t="str" cm="1">
        <f t="array" ref="N120">_xlfn.IFS(_xlfn.SINGLE(calls[Duration])&lt;30,"UNDER 30 MINS",_xlfn.SINGLE(calls[Duration])&lt;60,"30 T0 60 MINS",_xlfn.SINGLE(calls[Duration])&lt;120,"1 TO 2 HRS",TRUE,"ABOVE 2 HRS")</f>
        <v>1 TO 2 HRS</v>
      </c>
    </row>
    <row r="121" spans="1:14" x14ac:dyDescent="0.3">
      <c r="A121" t="s">
        <v>155</v>
      </c>
      <c r="B121" t="s">
        <v>18</v>
      </c>
      <c r="C121">
        <v>75</v>
      </c>
      <c r="D121" t="s">
        <v>42</v>
      </c>
      <c r="E121" s="1">
        <v>44974</v>
      </c>
      <c r="F121">
        <v>21</v>
      </c>
      <c r="G121">
        <v>4.2</v>
      </c>
      <c r="H121" t="str">
        <f>TEXT(calls[[#This Row],[Date of Call]],"DDDD")</f>
        <v>Friday</v>
      </c>
      <c r="I121">
        <f>ROUND(calls[[#This Row],[Satisfaction Rating]],0)</f>
        <v>4</v>
      </c>
      <c r="N121" t="str" cm="1">
        <f t="array" ref="N121">_xlfn.IFS(_xlfn.SINGLE(calls[Duration])&lt;30,"UNDER 30 MINS",_xlfn.SINGLE(calls[Duration])&lt;60,"30 T0 60 MINS",_xlfn.SINGLE(calls[Duration])&lt;120,"1 TO 2 HRS",TRUE,"ABOVE 2 HRS")</f>
        <v>1 TO 2 HRS</v>
      </c>
    </row>
    <row r="122" spans="1:14" x14ac:dyDescent="0.3">
      <c r="A122" t="s">
        <v>156</v>
      </c>
      <c r="B122" t="s">
        <v>22</v>
      </c>
      <c r="C122">
        <v>57</v>
      </c>
      <c r="D122" t="s">
        <v>13</v>
      </c>
      <c r="E122" s="1">
        <v>44974</v>
      </c>
      <c r="F122">
        <v>88</v>
      </c>
      <c r="G122">
        <v>4.3</v>
      </c>
      <c r="H122" t="str">
        <f>TEXT(calls[[#This Row],[Date of Call]],"DDDD")</f>
        <v>Friday</v>
      </c>
      <c r="I122">
        <f>ROUND(calls[[#This Row],[Satisfaction Rating]],0)</f>
        <v>4</v>
      </c>
      <c r="N122" t="str" cm="1">
        <f t="array" ref="N122">_xlfn.IFS(_xlfn.SINGLE(calls[Duration])&lt;30,"UNDER 30 MINS",_xlfn.SINGLE(calls[Duration])&lt;60,"30 T0 60 MINS",_xlfn.SINGLE(calls[Duration])&lt;120,"1 TO 2 HRS",TRUE,"ABOVE 2 HRS")</f>
        <v>30 T0 60 MINS</v>
      </c>
    </row>
    <row r="123" spans="1:14" x14ac:dyDescent="0.3">
      <c r="A123" t="s">
        <v>157</v>
      </c>
      <c r="B123" t="s">
        <v>33</v>
      </c>
      <c r="C123">
        <v>155</v>
      </c>
      <c r="D123" t="s">
        <v>13</v>
      </c>
      <c r="E123" s="1">
        <v>44975</v>
      </c>
      <c r="F123">
        <v>180</v>
      </c>
      <c r="G123">
        <v>2.2000000000000002</v>
      </c>
      <c r="H123" t="str">
        <f>TEXT(calls[[#This Row],[Date of Call]],"DDDD")</f>
        <v>Saturday</v>
      </c>
      <c r="I123">
        <f>ROUND(calls[[#This Row],[Satisfaction Rating]],0)</f>
        <v>2</v>
      </c>
      <c r="N123" t="str" cm="1">
        <f t="array" ref="N123">_xlfn.IFS(_xlfn.SINGLE(calls[Duration])&lt;30,"UNDER 30 MINS",_xlfn.SINGLE(calls[Duration])&lt;60,"30 T0 60 MINS",_xlfn.SINGLE(calls[Duration])&lt;120,"1 TO 2 HRS",TRUE,"ABOVE 2 HRS")</f>
        <v>ABOVE 2 HRS</v>
      </c>
    </row>
    <row r="124" spans="1:14" x14ac:dyDescent="0.3">
      <c r="A124" t="s">
        <v>158</v>
      </c>
      <c r="B124" t="s">
        <v>12</v>
      </c>
      <c r="C124">
        <v>68</v>
      </c>
      <c r="D124" t="s">
        <v>23</v>
      </c>
      <c r="E124" s="1">
        <v>44975</v>
      </c>
      <c r="F124">
        <v>22</v>
      </c>
      <c r="G124">
        <v>3.3</v>
      </c>
      <c r="H124" t="str">
        <f>TEXT(calls[[#This Row],[Date of Call]],"DDDD")</f>
        <v>Saturday</v>
      </c>
      <c r="I124">
        <f>ROUND(calls[[#This Row],[Satisfaction Rating]],0)</f>
        <v>3</v>
      </c>
      <c r="N124" t="str" cm="1">
        <f t="array" ref="N124">_xlfn.IFS(_xlfn.SINGLE(calls[Duration])&lt;30,"UNDER 30 MINS",_xlfn.SINGLE(calls[Duration])&lt;60,"30 T0 60 MINS",_xlfn.SINGLE(calls[Duration])&lt;120,"1 TO 2 HRS",TRUE,"ABOVE 2 HRS")</f>
        <v>1 TO 2 HRS</v>
      </c>
    </row>
    <row r="125" spans="1:14" x14ac:dyDescent="0.3">
      <c r="A125" t="s">
        <v>159</v>
      </c>
      <c r="B125" t="s">
        <v>41</v>
      </c>
      <c r="C125">
        <v>95</v>
      </c>
      <c r="D125" t="s">
        <v>23</v>
      </c>
      <c r="E125" s="1">
        <v>44975</v>
      </c>
      <c r="F125">
        <v>52</v>
      </c>
      <c r="G125">
        <v>4.8</v>
      </c>
      <c r="H125" t="str">
        <f>TEXT(calls[[#This Row],[Date of Call]],"DDDD")</f>
        <v>Saturday</v>
      </c>
      <c r="I125">
        <f>ROUND(calls[[#This Row],[Satisfaction Rating]],0)</f>
        <v>5</v>
      </c>
      <c r="N125" t="str" cm="1">
        <f t="array" ref="N125">_xlfn.IFS(_xlfn.SINGLE(calls[Duration])&lt;30,"UNDER 30 MINS",_xlfn.SINGLE(calls[Duration])&lt;60,"30 T0 60 MINS",_xlfn.SINGLE(calls[Duration])&lt;120,"1 TO 2 HRS",TRUE,"ABOVE 2 HRS")</f>
        <v>1 TO 2 HRS</v>
      </c>
    </row>
    <row r="126" spans="1:14" x14ac:dyDescent="0.3">
      <c r="A126" t="s">
        <v>160</v>
      </c>
      <c r="B126" t="s">
        <v>50</v>
      </c>
      <c r="C126">
        <v>65</v>
      </c>
      <c r="D126" t="s">
        <v>13</v>
      </c>
      <c r="E126" s="1">
        <v>44976</v>
      </c>
      <c r="F126">
        <v>80</v>
      </c>
      <c r="G126">
        <v>4</v>
      </c>
      <c r="H126" t="str">
        <f>TEXT(calls[[#This Row],[Date of Call]],"DDDD")</f>
        <v>Sunday</v>
      </c>
      <c r="I126">
        <f>ROUND(calls[[#This Row],[Satisfaction Rating]],0)</f>
        <v>4</v>
      </c>
      <c r="N126" t="str" cm="1">
        <f t="array" ref="N126">_xlfn.IFS(_xlfn.SINGLE(calls[Duration])&lt;30,"UNDER 30 MINS",_xlfn.SINGLE(calls[Duration])&lt;60,"30 T0 60 MINS",_xlfn.SINGLE(calls[Duration])&lt;120,"1 TO 2 HRS",TRUE,"ABOVE 2 HRS")</f>
        <v>1 TO 2 HRS</v>
      </c>
    </row>
    <row r="127" spans="1:14" x14ac:dyDescent="0.3">
      <c r="A127" t="s">
        <v>161</v>
      </c>
      <c r="B127" t="s">
        <v>28</v>
      </c>
      <c r="C127">
        <v>114</v>
      </c>
      <c r="D127" t="s">
        <v>29</v>
      </c>
      <c r="E127" s="1">
        <v>44976</v>
      </c>
      <c r="F127">
        <v>54</v>
      </c>
      <c r="G127">
        <v>1.1000000000000001</v>
      </c>
      <c r="H127" t="str">
        <f>TEXT(calls[[#This Row],[Date of Call]],"DDDD")</f>
        <v>Sunday</v>
      </c>
      <c r="I127">
        <f>ROUND(calls[[#This Row],[Satisfaction Rating]],0)</f>
        <v>1</v>
      </c>
      <c r="N127" t="str" cm="1">
        <f t="array" ref="N127">_xlfn.IFS(_xlfn.SINGLE(calls[Duration])&lt;30,"UNDER 30 MINS",_xlfn.SINGLE(calls[Duration])&lt;60,"30 T0 60 MINS",_xlfn.SINGLE(calls[Duration])&lt;120,"1 TO 2 HRS",TRUE,"ABOVE 2 HRS")</f>
        <v>1 TO 2 HRS</v>
      </c>
    </row>
    <row r="128" spans="1:14" x14ac:dyDescent="0.3">
      <c r="A128" t="s">
        <v>162</v>
      </c>
      <c r="B128" t="s">
        <v>18</v>
      </c>
      <c r="C128">
        <v>155</v>
      </c>
      <c r="D128" t="s">
        <v>29</v>
      </c>
      <c r="E128" s="1">
        <v>44977</v>
      </c>
      <c r="F128">
        <v>80</v>
      </c>
      <c r="G128">
        <v>3.9</v>
      </c>
      <c r="H128" t="str">
        <f>TEXT(calls[[#This Row],[Date of Call]],"DDDD")</f>
        <v>Monday</v>
      </c>
      <c r="I128">
        <f>ROUND(calls[[#This Row],[Satisfaction Rating]],0)</f>
        <v>4</v>
      </c>
      <c r="N128" t="str" cm="1">
        <f t="array" ref="N128">_xlfn.IFS(_xlfn.SINGLE(calls[Duration])&lt;30,"UNDER 30 MINS",_xlfn.SINGLE(calls[Duration])&lt;60,"30 T0 60 MINS",_xlfn.SINGLE(calls[Duration])&lt;120,"1 TO 2 HRS",TRUE,"ABOVE 2 HRS")</f>
        <v>ABOVE 2 HRS</v>
      </c>
    </row>
    <row r="129" spans="1:14" x14ac:dyDescent="0.3">
      <c r="A129" t="s">
        <v>163</v>
      </c>
      <c r="B129" t="s">
        <v>50</v>
      </c>
      <c r="C129">
        <v>114</v>
      </c>
      <c r="D129" t="s">
        <v>13</v>
      </c>
      <c r="E129" s="1">
        <v>44978</v>
      </c>
      <c r="F129">
        <v>120</v>
      </c>
      <c r="G129">
        <v>1.8</v>
      </c>
      <c r="H129" t="str">
        <f>TEXT(calls[[#This Row],[Date of Call]],"DDDD")</f>
        <v>Tuesday</v>
      </c>
      <c r="I129">
        <f>ROUND(calls[[#This Row],[Satisfaction Rating]],0)</f>
        <v>2</v>
      </c>
      <c r="N129" t="str" cm="1">
        <f t="array" ref="N129">_xlfn.IFS(_xlfn.SINGLE(calls[Duration])&lt;30,"UNDER 30 MINS",_xlfn.SINGLE(calls[Duration])&lt;60,"30 T0 60 MINS",_xlfn.SINGLE(calls[Duration])&lt;120,"1 TO 2 HRS",TRUE,"ABOVE 2 HRS")</f>
        <v>1 TO 2 HRS</v>
      </c>
    </row>
    <row r="130" spans="1:14" x14ac:dyDescent="0.3">
      <c r="A130" t="s">
        <v>164</v>
      </c>
      <c r="B130" t="s">
        <v>33</v>
      </c>
      <c r="C130">
        <v>130</v>
      </c>
      <c r="D130" t="s">
        <v>36</v>
      </c>
      <c r="E130" s="1">
        <v>44978</v>
      </c>
      <c r="F130">
        <v>150</v>
      </c>
      <c r="G130">
        <v>1</v>
      </c>
      <c r="H130" t="str">
        <f>TEXT(calls[[#This Row],[Date of Call]],"DDDD")</f>
        <v>Tuesday</v>
      </c>
      <c r="I130">
        <f>ROUND(calls[[#This Row],[Satisfaction Rating]],0)</f>
        <v>1</v>
      </c>
      <c r="N130" t="str" cm="1">
        <f t="array" ref="N130">_xlfn.IFS(_xlfn.SINGLE(calls[Duration])&lt;30,"UNDER 30 MINS",_xlfn.SINGLE(calls[Duration])&lt;60,"30 T0 60 MINS",_xlfn.SINGLE(calls[Duration])&lt;120,"1 TO 2 HRS",TRUE,"ABOVE 2 HRS")</f>
        <v>ABOVE 2 HRS</v>
      </c>
    </row>
    <row r="131" spans="1:14" x14ac:dyDescent="0.3">
      <c r="A131" t="s">
        <v>165</v>
      </c>
      <c r="B131" t="s">
        <v>18</v>
      </c>
      <c r="C131">
        <v>89</v>
      </c>
      <c r="D131" t="s">
        <v>13</v>
      </c>
      <c r="E131" s="1">
        <v>44978</v>
      </c>
      <c r="F131">
        <v>90</v>
      </c>
      <c r="G131">
        <v>4.3</v>
      </c>
      <c r="H131" t="str">
        <f>TEXT(calls[[#This Row],[Date of Call]],"DDDD")</f>
        <v>Tuesday</v>
      </c>
      <c r="I131">
        <f>ROUND(calls[[#This Row],[Satisfaction Rating]],0)</f>
        <v>4</v>
      </c>
      <c r="N131" t="str" cm="1">
        <f t="array" ref="N131">_xlfn.IFS(_xlfn.SINGLE(calls[Duration])&lt;30,"UNDER 30 MINS",_xlfn.SINGLE(calls[Duration])&lt;60,"30 T0 60 MINS",_xlfn.SINGLE(calls[Duration])&lt;120,"1 TO 2 HRS",TRUE,"ABOVE 2 HRS")</f>
        <v>1 TO 2 HRS</v>
      </c>
    </row>
    <row r="132" spans="1:14" x14ac:dyDescent="0.3">
      <c r="A132" t="s">
        <v>166</v>
      </c>
      <c r="B132" t="s">
        <v>14</v>
      </c>
      <c r="C132">
        <v>61</v>
      </c>
      <c r="D132" t="s">
        <v>42</v>
      </c>
      <c r="E132" s="1">
        <v>44979</v>
      </c>
      <c r="F132">
        <v>140</v>
      </c>
      <c r="G132">
        <v>3.4</v>
      </c>
      <c r="H132" t="str">
        <f>TEXT(calls[[#This Row],[Date of Call]],"DDDD")</f>
        <v>Wednesday</v>
      </c>
      <c r="I132">
        <f>ROUND(calls[[#This Row],[Satisfaction Rating]],0)</f>
        <v>3</v>
      </c>
      <c r="N132" t="str" cm="1">
        <f t="array" ref="N132">_xlfn.IFS(_xlfn.SINGLE(calls[Duration])&lt;30,"UNDER 30 MINS",_xlfn.SINGLE(calls[Duration])&lt;60,"30 T0 60 MINS",_xlfn.SINGLE(calls[Duration])&lt;120,"1 TO 2 HRS",TRUE,"ABOVE 2 HRS")</f>
        <v>1 TO 2 HRS</v>
      </c>
    </row>
    <row r="133" spans="1:14" x14ac:dyDescent="0.3">
      <c r="A133" t="s">
        <v>167</v>
      </c>
      <c r="B133" t="s">
        <v>41</v>
      </c>
      <c r="C133">
        <v>154</v>
      </c>
      <c r="D133" t="s">
        <v>29</v>
      </c>
      <c r="E133" s="1">
        <v>44979</v>
      </c>
      <c r="F133">
        <v>22</v>
      </c>
      <c r="G133">
        <v>3.4</v>
      </c>
      <c r="H133" t="str">
        <f>TEXT(calls[[#This Row],[Date of Call]],"DDDD")</f>
        <v>Wednesday</v>
      </c>
      <c r="I133">
        <f>ROUND(calls[[#This Row],[Satisfaction Rating]],0)</f>
        <v>3</v>
      </c>
      <c r="N133" t="str" cm="1">
        <f t="array" ref="N133">_xlfn.IFS(_xlfn.SINGLE(calls[Duration])&lt;30,"UNDER 30 MINS",_xlfn.SINGLE(calls[Duration])&lt;60,"30 T0 60 MINS",_xlfn.SINGLE(calls[Duration])&lt;120,"1 TO 2 HRS",TRUE,"ABOVE 2 HRS")</f>
        <v>ABOVE 2 HRS</v>
      </c>
    </row>
    <row r="134" spans="1:14" x14ac:dyDescent="0.3">
      <c r="A134" t="s">
        <v>168</v>
      </c>
      <c r="B134" t="s">
        <v>50</v>
      </c>
      <c r="C134">
        <v>115</v>
      </c>
      <c r="D134" t="s">
        <v>36</v>
      </c>
      <c r="E134" s="1">
        <v>44980</v>
      </c>
      <c r="F134">
        <v>150</v>
      </c>
      <c r="G134">
        <v>4.0999999999999996</v>
      </c>
      <c r="H134" t="str">
        <f>TEXT(calls[[#This Row],[Date of Call]],"DDDD")</f>
        <v>Thursday</v>
      </c>
      <c r="I134">
        <f>ROUND(calls[[#This Row],[Satisfaction Rating]],0)</f>
        <v>4</v>
      </c>
      <c r="N134" t="str" cm="1">
        <f t="array" ref="N134">_xlfn.IFS(_xlfn.SINGLE(calls[Duration])&lt;30,"UNDER 30 MINS",_xlfn.SINGLE(calls[Duration])&lt;60,"30 T0 60 MINS",_xlfn.SINGLE(calls[Duration])&lt;120,"1 TO 2 HRS",TRUE,"ABOVE 2 HRS")</f>
        <v>1 TO 2 HRS</v>
      </c>
    </row>
    <row r="135" spans="1:14" x14ac:dyDescent="0.3">
      <c r="A135" t="s">
        <v>169</v>
      </c>
      <c r="B135" t="s">
        <v>37</v>
      </c>
      <c r="C135">
        <v>138</v>
      </c>
      <c r="D135" t="s">
        <v>23</v>
      </c>
      <c r="E135" s="1">
        <v>44981</v>
      </c>
      <c r="F135">
        <v>35</v>
      </c>
      <c r="G135">
        <v>4.8</v>
      </c>
      <c r="H135" t="str">
        <f>TEXT(calls[[#This Row],[Date of Call]],"DDDD")</f>
        <v>Friday</v>
      </c>
      <c r="I135">
        <f>ROUND(calls[[#This Row],[Satisfaction Rating]],0)</f>
        <v>5</v>
      </c>
      <c r="N135" t="str" cm="1">
        <f t="array" ref="N135">_xlfn.IFS(_xlfn.SINGLE(calls[Duration])&lt;30,"UNDER 30 MINS",_xlfn.SINGLE(calls[Duration])&lt;60,"30 T0 60 MINS",_xlfn.SINGLE(calls[Duration])&lt;120,"1 TO 2 HRS",TRUE,"ABOVE 2 HRS")</f>
        <v>ABOVE 2 HRS</v>
      </c>
    </row>
    <row r="136" spans="1:14" x14ac:dyDescent="0.3">
      <c r="A136" t="s">
        <v>170</v>
      </c>
      <c r="B136" t="s">
        <v>26</v>
      </c>
      <c r="C136">
        <v>153</v>
      </c>
      <c r="D136" t="s">
        <v>13</v>
      </c>
      <c r="E136" s="1">
        <v>44981</v>
      </c>
      <c r="F136">
        <v>200</v>
      </c>
      <c r="G136">
        <v>2</v>
      </c>
      <c r="H136" t="str">
        <f>TEXT(calls[[#This Row],[Date of Call]],"DDDD")</f>
        <v>Friday</v>
      </c>
      <c r="I136">
        <f>ROUND(calls[[#This Row],[Satisfaction Rating]],0)</f>
        <v>2</v>
      </c>
      <c r="N136" t="str" cm="1">
        <f t="array" ref="N136">_xlfn.IFS(_xlfn.SINGLE(calls[Duration])&lt;30,"UNDER 30 MINS",_xlfn.SINGLE(calls[Duration])&lt;60,"30 T0 60 MINS",_xlfn.SINGLE(calls[Duration])&lt;120,"1 TO 2 HRS",TRUE,"ABOVE 2 HRS")</f>
        <v>ABOVE 2 HRS</v>
      </c>
    </row>
    <row r="137" spans="1:14" x14ac:dyDescent="0.3">
      <c r="A137" t="s">
        <v>171</v>
      </c>
      <c r="B137" t="s">
        <v>50</v>
      </c>
      <c r="C137">
        <v>61</v>
      </c>
      <c r="D137" t="s">
        <v>42</v>
      </c>
      <c r="E137" s="1">
        <v>44982</v>
      </c>
      <c r="F137">
        <v>150</v>
      </c>
      <c r="G137">
        <v>4.5999999999999996</v>
      </c>
      <c r="H137" t="str">
        <f>TEXT(calls[[#This Row],[Date of Call]],"DDDD")</f>
        <v>Saturday</v>
      </c>
      <c r="I137">
        <f>ROUND(calls[[#This Row],[Satisfaction Rating]],0)</f>
        <v>5</v>
      </c>
      <c r="N137" t="str" cm="1">
        <f t="array" ref="N137">_xlfn.IFS(_xlfn.SINGLE(calls[Duration])&lt;30,"UNDER 30 MINS",_xlfn.SINGLE(calls[Duration])&lt;60,"30 T0 60 MINS",_xlfn.SINGLE(calls[Duration])&lt;120,"1 TO 2 HRS",TRUE,"ABOVE 2 HRS")</f>
        <v>1 TO 2 HRS</v>
      </c>
    </row>
    <row r="138" spans="1:14" x14ac:dyDescent="0.3">
      <c r="A138" t="s">
        <v>172</v>
      </c>
      <c r="B138" t="s">
        <v>39</v>
      </c>
      <c r="C138">
        <v>62</v>
      </c>
      <c r="D138" t="s">
        <v>13</v>
      </c>
      <c r="E138" s="1">
        <v>44982</v>
      </c>
      <c r="F138">
        <v>21</v>
      </c>
      <c r="G138">
        <v>2.6</v>
      </c>
      <c r="H138" t="str">
        <f>TEXT(calls[[#This Row],[Date of Call]],"DDDD")</f>
        <v>Saturday</v>
      </c>
      <c r="I138">
        <f>ROUND(calls[[#This Row],[Satisfaction Rating]],0)</f>
        <v>3</v>
      </c>
      <c r="N138" t="str" cm="1">
        <f t="array" ref="N138">_xlfn.IFS(_xlfn.SINGLE(calls[Duration])&lt;30,"UNDER 30 MINS",_xlfn.SINGLE(calls[Duration])&lt;60,"30 T0 60 MINS",_xlfn.SINGLE(calls[Duration])&lt;120,"1 TO 2 HRS",TRUE,"ABOVE 2 HRS")</f>
        <v>1 TO 2 HRS</v>
      </c>
    </row>
    <row r="139" spans="1:14" x14ac:dyDescent="0.3">
      <c r="A139" t="s">
        <v>173</v>
      </c>
      <c r="B139" t="s">
        <v>14</v>
      </c>
      <c r="C139">
        <v>151</v>
      </c>
      <c r="D139" t="s">
        <v>36</v>
      </c>
      <c r="E139" s="1">
        <v>44983</v>
      </c>
      <c r="F139">
        <v>46</v>
      </c>
      <c r="G139">
        <v>4.9000000000000004</v>
      </c>
      <c r="H139" t="str">
        <f>TEXT(calls[[#This Row],[Date of Call]],"DDDD")</f>
        <v>Sunday</v>
      </c>
      <c r="I139">
        <f>ROUND(calls[[#This Row],[Satisfaction Rating]],0)</f>
        <v>5</v>
      </c>
      <c r="N139" t="str" cm="1">
        <f t="array" ref="N139">_xlfn.IFS(_xlfn.SINGLE(calls[Duration])&lt;30,"UNDER 30 MINS",_xlfn.SINGLE(calls[Duration])&lt;60,"30 T0 60 MINS",_xlfn.SINGLE(calls[Duration])&lt;120,"1 TO 2 HRS",TRUE,"ABOVE 2 HRS")</f>
        <v>ABOVE 2 HRS</v>
      </c>
    </row>
    <row r="140" spans="1:14" x14ac:dyDescent="0.3">
      <c r="A140" t="s">
        <v>174</v>
      </c>
      <c r="B140" t="s">
        <v>46</v>
      </c>
      <c r="C140">
        <v>102</v>
      </c>
      <c r="D140" t="s">
        <v>29</v>
      </c>
      <c r="E140" s="1">
        <v>44983</v>
      </c>
      <c r="F140">
        <v>165</v>
      </c>
      <c r="G140">
        <v>2.7</v>
      </c>
      <c r="H140" t="str">
        <f>TEXT(calls[[#This Row],[Date of Call]],"DDDD")</f>
        <v>Sunday</v>
      </c>
      <c r="I140">
        <f>ROUND(calls[[#This Row],[Satisfaction Rating]],0)</f>
        <v>3</v>
      </c>
      <c r="N140" t="str" cm="1">
        <f t="array" ref="N140">_xlfn.IFS(_xlfn.SINGLE(calls[Duration])&lt;30,"UNDER 30 MINS",_xlfn.SINGLE(calls[Duration])&lt;60,"30 T0 60 MINS",_xlfn.SINGLE(calls[Duration])&lt;120,"1 TO 2 HRS",TRUE,"ABOVE 2 HRS")</f>
        <v>1 TO 2 HRS</v>
      </c>
    </row>
    <row r="141" spans="1:14" x14ac:dyDescent="0.3">
      <c r="A141" t="s">
        <v>175</v>
      </c>
      <c r="B141" t="s">
        <v>31</v>
      </c>
      <c r="C141">
        <v>64</v>
      </c>
      <c r="D141" t="s">
        <v>13</v>
      </c>
      <c r="E141" s="1">
        <v>44983</v>
      </c>
      <c r="F141">
        <v>84</v>
      </c>
      <c r="G141">
        <v>4.0999999999999996</v>
      </c>
      <c r="H141" t="str">
        <f>TEXT(calls[[#This Row],[Date of Call]],"DDDD")</f>
        <v>Sunday</v>
      </c>
      <c r="I141">
        <f>ROUND(calls[[#This Row],[Satisfaction Rating]],0)</f>
        <v>4</v>
      </c>
      <c r="N141" t="str" cm="1">
        <f t="array" ref="N141">_xlfn.IFS(_xlfn.SINGLE(calls[Duration])&lt;30,"UNDER 30 MINS",_xlfn.SINGLE(calls[Duration])&lt;60,"30 T0 60 MINS",_xlfn.SINGLE(calls[Duration])&lt;120,"1 TO 2 HRS",TRUE,"ABOVE 2 HRS")</f>
        <v>1 TO 2 HRS</v>
      </c>
    </row>
    <row r="142" spans="1:14" x14ac:dyDescent="0.3">
      <c r="A142" t="s">
        <v>176</v>
      </c>
      <c r="B142" t="s">
        <v>18</v>
      </c>
      <c r="C142">
        <v>6</v>
      </c>
      <c r="D142" t="s">
        <v>29</v>
      </c>
      <c r="E142" s="1">
        <v>44984</v>
      </c>
      <c r="F142">
        <v>102</v>
      </c>
      <c r="G142">
        <v>4.4000000000000004</v>
      </c>
      <c r="H142" t="str">
        <f>TEXT(calls[[#This Row],[Date of Call]],"DDDD")</f>
        <v>Monday</v>
      </c>
      <c r="I142">
        <f>ROUND(calls[[#This Row],[Satisfaction Rating]],0)</f>
        <v>4</v>
      </c>
      <c r="N142" t="str" cm="1">
        <f t="array" ref="N142">_xlfn.IFS(_xlfn.SINGLE(calls[Duration])&lt;30,"UNDER 30 MINS",_xlfn.SINGLE(calls[Duration])&lt;60,"30 T0 60 MINS",_xlfn.SINGLE(calls[Duration])&lt;120,"1 TO 2 HRS",TRUE,"ABOVE 2 HRS")</f>
        <v>UNDER 30 MINS</v>
      </c>
    </row>
    <row r="143" spans="1:14" x14ac:dyDescent="0.3">
      <c r="A143" t="s">
        <v>177</v>
      </c>
      <c r="B143" t="s">
        <v>31</v>
      </c>
      <c r="C143">
        <v>129</v>
      </c>
      <c r="D143" t="s">
        <v>13</v>
      </c>
      <c r="E143" s="1">
        <v>44984</v>
      </c>
      <c r="F143">
        <v>180</v>
      </c>
      <c r="G143">
        <v>4.8</v>
      </c>
      <c r="H143" t="str">
        <f>TEXT(calls[[#This Row],[Date of Call]],"DDDD")</f>
        <v>Monday</v>
      </c>
      <c r="I143">
        <f>ROUND(calls[[#This Row],[Satisfaction Rating]],0)</f>
        <v>5</v>
      </c>
      <c r="N143" t="str" cm="1">
        <f t="array" ref="N143">_xlfn.IFS(_xlfn.SINGLE(calls[Duration])&lt;30,"UNDER 30 MINS",_xlfn.SINGLE(calls[Duration])&lt;60,"30 T0 60 MINS",_xlfn.SINGLE(calls[Duration])&lt;120,"1 TO 2 HRS",TRUE,"ABOVE 2 HRS")</f>
        <v>ABOVE 2 HRS</v>
      </c>
    </row>
    <row r="144" spans="1:14" x14ac:dyDescent="0.3">
      <c r="A144" t="s">
        <v>178</v>
      </c>
      <c r="B144" t="s">
        <v>39</v>
      </c>
      <c r="C144">
        <v>42</v>
      </c>
      <c r="D144" t="s">
        <v>36</v>
      </c>
      <c r="E144" s="1">
        <v>44985</v>
      </c>
      <c r="F144">
        <v>111</v>
      </c>
      <c r="G144">
        <v>3</v>
      </c>
      <c r="H144" t="str">
        <f>TEXT(calls[[#This Row],[Date of Call]],"DDDD")</f>
        <v>Tuesday</v>
      </c>
      <c r="I144">
        <f>ROUND(calls[[#This Row],[Satisfaction Rating]],0)</f>
        <v>3</v>
      </c>
      <c r="N144" t="str" cm="1">
        <f t="array" ref="N144">_xlfn.IFS(_xlfn.SINGLE(calls[Duration])&lt;30,"UNDER 30 MINS",_xlfn.SINGLE(calls[Duration])&lt;60,"30 T0 60 MINS",_xlfn.SINGLE(calls[Duration])&lt;120,"1 TO 2 HRS",TRUE,"ABOVE 2 HRS")</f>
        <v>30 T0 60 MINS</v>
      </c>
    </row>
    <row r="145" spans="1:14" x14ac:dyDescent="0.3">
      <c r="A145" t="s">
        <v>179</v>
      </c>
      <c r="B145" t="s">
        <v>39</v>
      </c>
      <c r="C145">
        <v>71</v>
      </c>
      <c r="D145" t="s">
        <v>42</v>
      </c>
      <c r="E145" s="1">
        <v>44985</v>
      </c>
      <c r="F145">
        <v>104</v>
      </c>
      <c r="G145">
        <v>3.1</v>
      </c>
      <c r="H145" t="str">
        <f>TEXT(calls[[#This Row],[Date of Call]],"DDDD")</f>
        <v>Tuesday</v>
      </c>
      <c r="I145">
        <f>ROUND(calls[[#This Row],[Satisfaction Rating]],0)</f>
        <v>3</v>
      </c>
      <c r="N145" t="str" cm="1">
        <f t="array" ref="N145">_xlfn.IFS(_xlfn.SINGLE(calls[Duration])&lt;30,"UNDER 30 MINS",_xlfn.SINGLE(calls[Duration])&lt;60,"30 T0 60 MINS",_xlfn.SINGLE(calls[Duration])&lt;120,"1 TO 2 HRS",TRUE,"ABOVE 2 HRS")</f>
        <v>1 TO 2 HRS</v>
      </c>
    </row>
    <row r="146" spans="1:14" x14ac:dyDescent="0.3">
      <c r="A146" t="s">
        <v>180</v>
      </c>
      <c r="B146" t="s">
        <v>22</v>
      </c>
      <c r="C146">
        <v>53</v>
      </c>
      <c r="D146" t="s">
        <v>29</v>
      </c>
      <c r="E146" s="1">
        <v>44985</v>
      </c>
      <c r="F146">
        <v>80</v>
      </c>
      <c r="G146">
        <v>2.6</v>
      </c>
      <c r="H146" t="str">
        <f>TEXT(calls[[#This Row],[Date of Call]],"DDDD")</f>
        <v>Tuesday</v>
      </c>
      <c r="I146">
        <f>ROUND(calls[[#This Row],[Satisfaction Rating]],0)</f>
        <v>3</v>
      </c>
      <c r="N146" t="str" cm="1">
        <f t="array" ref="N146">_xlfn.IFS(_xlfn.SINGLE(calls[Duration])&lt;30,"UNDER 30 MINS",_xlfn.SINGLE(calls[Duration])&lt;60,"30 T0 60 MINS",_xlfn.SINGLE(calls[Duration])&lt;120,"1 TO 2 HRS",TRUE,"ABOVE 2 HRS")</f>
        <v>30 T0 60 MINS</v>
      </c>
    </row>
    <row r="147" spans="1:14" x14ac:dyDescent="0.3">
      <c r="A147" t="s">
        <v>181</v>
      </c>
      <c r="B147" t="s">
        <v>28</v>
      </c>
      <c r="C147">
        <v>155</v>
      </c>
      <c r="D147" t="s">
        <v>42</v>
      </c>
      <c r="E147" s="1">
        <v>44986</v>
      </c>
      <c r="F147">
        <v>132</v>
      </c>
      <c r="G147">
        <v>4.5999999999999996</v>
      </c>
      <c r="H147" t="str">
        <f>TEXT(calls[[#This Row],[Date of Call]],"DDDD")</f>
        <v>Wednesday</v>
      </c>
      <c r="I147">
        <f>ROUND(calls[[#This Row],[Satisfaction Rating]],0)</f>
        <v>5</v>
      </c>
      <c r="N147" t="str" cm="1">
        <f t="array" ref="N147">_xlfn.IFS(_xlfn.SINGLE(calls[Duration])&lt;30,"UNDER 30 MINS",_xlfn.SINGLE(calls[Duration])&lt;60,"30 T0 60 MINS",_xlfn.SINGLE(calls[Duration])&lt;120,"1 TO 2 HRS",TRUE,"ABOVE 2 HRS")</f>
        <v>ABOVE 2 HRS</v>
      </c>
    </row>
    <row r="148" spans="1:14" x14ac:dyDescent="0.3">
      <c r="A148" t="s">
        <v>182</v>
      </c>
      <c r="B148" t="s">
        <v>28</v>
      </c>
      <c r="C148">
        <v>90</v>
      </c>
      <c r="D148" t="s">
        <v>36</v>
      </c>
      <c r="E148" s="1">
        <v>44986</v>
      </c>
      <c r="F148">
        <v>170</v>
      </c>
      <c r="G148">
        <v>3.7</v>
      </c>
      <c r="H148" t="str">
        <f>TEXT(calls[[#This Row],[Date of Call]],"DDDD")</f>
        <v>Wednesday</v>
      </c>
      <c r="I148">
        <f>ROUND(calls[[#This Row],[Satisfaction Rating]],0)</f>
        <v>4</v>
      </c>
      <c r="N148" t="str" cm="1">
        <f t="array" ref="N148">_xlfn.IFS(_xlfn.SINGLE(calls[Duration])&lt;30,"UNDER 30 MINS",_xlfn.SINGLE(calls[Duration])&lt;60,"30 T0 60 MINS",_xlfn.SINGLE(calls[Duration])&lt;120,"1 TO 2 HRS",TRUE,"ABOVE 2 HRS")</f>
        <v>1 TO 2 HRS</v>
      </c>
    </row>
    <row r="149" spans="1:14" x14ac:dyDescent="0.3">
      <c r="A149" t="s">
        <v>183</v>
      </c>
      <c r="B149" t="s">
        <v>31</v>
      </c>
      <c r="C149">
        <v>166</v>
      </c>
      <c r="D149" t="s">
        <v>23</v>
      </c>
      <c r="E149" s="1">
        <v>44986</v>
      </c>
      <c r="F149">
        <v>36</v>
      </c>
      <c r="G149">
        <v>3.8</v>
      </c>
      <c r="H149" t="str">
        <f>TEXT(calls[[#This Row],[Date of Call]],"DDDD")</f>
        <v>Wednesday</v>
      </c>
      <c r="I149">
        <f>ROUND(calls[[#This Row],[Satisfaction Rating]],0)</f>
        <v>4</v>
      </c>
      <c r="N149" t="str" cm="1">
        <f t="array" ref="N149">_xlfn.IFS(_xlfn.SINGLE(calls[Duration])&lt;30,"UNDER 30 MINS",_xlfn.SINGLE(calls[Duration])&lt;60,"30 T0 60 MINS",_xlfn.SINGLE(calls[Duration])&lt;120,"1 TO 2 HRS",TRUE,"ABOVE 2 HRS")</f>
        <v>ABOVE 2 HRS</v>
      </c>
    </row>
    <row r="150" spans="1:14" x14ac:dyDescent="0.3">
      <c r="A150" t="s">
        <v>184</v>
      </c>
      <c r="B150" t="s">
        <v>19</v>
      </c>
      <c r="C150">
        <v>89</v>
      </c>
      <c r="D150" t="s">
        <v>42</v>
      </c>
      <c r="E150" s="1">
        <v>44986</v>
      </c>
      <c r="F150">
        <v>126</v>
      </c>
      <c r="G150">
        <v>3.6</v>
      </c>
      <c r="H150" t="str">
        <f>TEXT(calls[[#This Row],[Date of Call]],"DDDD")</f>
        <v>Wednesday</v>
      </c>
      <c r="I150">
        <f>ROUND(calls[[#This Row],[Satisfaction Rating]],0)</f>
        <v>4</v>
      </c>
      <c r="N150" t="str" cm="1">
        <f t="array" ref="N150">_xlfn.IFS(_xlfn.SINGLE(calls[Duration])&lt;30,"UNDER 30 MINS",_xlfn.SINGLE(calls[Duration])&lt;60,"30 T0 60 MINS",_xlfn.SINGLE(calls[Duration])&lt;120,"1 TO 2 HRS",TRUE,"ABOVE 2 HRS")</f>
        <v>1 TO 2 HRS</v>
      </c>
    </row>
    <row r="151" spans="1:14" x14ac:dyDescent="0.3">
      <c r="A151" t="s">
        <v>185</v>
      </c>
      <c r="B151" t="s">
        <v>50</v>
      </c>
      <c r="C151">
        <v>152</v>
      </c>
      <c r="D151" t="s">
        <v>29</v>
      </c>
      <c r="E151" s="1">
        <v>44986</v>
      </c>
      <c r="F151">
        <v>215</v>
      </c>
      <c r="G151">
        <v>4.4000000000000004</v>
      </c>
      <c r="H151" t="str">
        <f>TEXT(calls[[#This Row],[Date of Call]],"DDDD")</f>
        <v>Wednesday</v>
      </c>
      <c r="I151">
        <f>ROUND(calls[[#This Row],[Satisfaction Rating]],0)</f>
        <v>4</v>
      </c>
      <c r="N151" t="str" cm="1">
        <f t="array" ref="N151">_xlfn.IFS(_xlfn.SINGLE(calls[Duration])&lt;30,"UNDER 30 MINS",_xlfn.SINGLE(calls[Duration])&lt;60,"30 T0 60 MINS",_xlfn.SINGLE(calls[Duration])&lt;120,"1 TO 2 HRS",TRUE,"ABOVE 2 HRS")</f>
        <v>ABOVE 2 HRS</v>
      </c>
    </row>
    <row r="152" spans="1:14" x14ac:dyDescent="0.3">
      <c r="A152" t="s">
        <v>186</v>
      </c>
      <c r="B152" t="s">
        <v>19</v>
      </c>
      <c r="C152">
        <v>137</v>
      </c>
      <c r="D152" t="s">
        <v>36</v>
      </c>
      <c r="E152" s="1">
        <v>44986</v>
      </c>
      <c r="F152">
        <v>114</v>
      </c>
      <c r="G152">
        <v>3.2</v>
      </c>
      <c r="H152" t="str">
        <f>TEXT(calls[[#This Row],[Date of Call]],"DDDD")</f>
        <v>Wednesday</v>
      </c>
      <c r="I152">
        <f>ROUND(calls[[#This Row],[Satisfaction Rating]],0)</f>
        <v>3</v>
      </c>
      <c r="N152" t="str" cm="1">
        <f t="array" ref="N152">_xlfn.IFS(_xlfn.SINGLE(calls[Duration])&lt;30,"UNDER 30 MINS",_xlfn.SINGLE(calls[Duration])&lt;60,"30 T0 60 MINS",_xlfn.SINGLE(calls[Duration])&lt;120,"1 TO 2 HRS",TRUE,"ABOVE 2 HRS")</f>
        <v>ABOVE 2 HRS</v>
      </c>
    </row>
    <row r="153" spans="1:14" x14ac:dyDescent="0.3">
      <c r="A153" t="s">
        <v>187</v>
      </c>
      <c r="B153" t="s">
        <v>19</v>
      </c>
      <c r="C153">
        <v>43</v>
      </c>
      <c r="D153" t="s">
        <v>36</v>
      </c>
      <c r="E153" s="1">
        <v>44986</v>
      </c>
      <c r="F153">
        <v>99</v>
      </c>
      <c r="G153">
        <v>4.7</v>
      </c>
      <c r="H153" t="str">
        <f>TEXT(calls[[#This Row],[Date of Call]],"DDDD")</f>
        <v>Wednesday</v>
      </c>
      <c r="I153">
        <f>ROUND(calls[[#This Row],[Satisfaction Rating]],0)</f>
        <v>5</v>
      </c>
      <c r="N153" t="str" cm="1">
        <f t="array" ref="N153">_xlfn.IFS(_xlfn.SINGLE(calls[Duration])&lt;30,"UNDER 30 MINS",_xlfn.SINGLE(calls[Duration])&lt;60,"30 T0 60 MINS",_xlfn.SINGLE(calls[Duration])&lt;120,"1 TO 2 HRS",TRUE,"ABOVE 2 HRS")</f>
        <v>30 T0 60 MINS</v>
      </c>
    </row>
    <row r="154" spans="1:14" x14ac:dyDescent="0.3">
      <c r="A154" t="s">
        <v>188</v>
      </c>
      <c r="B154" t="s">
        <v>41</v>
      </c>
      <c r="C154">
        <v>114</v>
      </c>
      <c r="D154" t="s">
        <v>36</v>
      </c>
      <c r="E154" s="1">
        <v>44987</v>
      </c>
      <c r="F154">
        <v>23</v>
      </c>
      <c r="G154">
        <v>4.8</v>
      </c>
      <c r="H154" t="str">
        <f>TEXT(calls[[#This Row],[Date of Call]],"DDDD")</f>
        <v>Thursday</v>
      </c>
      <c r="I154">
        <f>ROUND(calls[[#This Row],[Satisfaction Rating]],0)</f>
        <v>5</v>
      </c>
      <c r="N154" t="str" cm="1">
        <f t="array" ref="N154">_xlfn.IFS(_xlfn.SINGLE(calls[Duration])&lt;30,"UNDER 30 MINS",_xlfn.SINGLE(calls[Duration])&lt;60,"30 T0 60 MINS",_xlfn.SINGLE(calls[Duration])&lt;120,"1 TO 2 HRS",TRUE,"ABOVE 2 HRS")</f>
        <v>1 TO 2 HRS</v>
      </c>
    </row>
    <row r="155" spans="1:14" x14ac:dyDescent="0.3">
      <c r="A155" t="s">
        <v>189</v>
      </c>
      <c r="B155" t="s">
        <v>26</v>
      </c>
      <c r="C155">
        <v>103</v>
      </c>
      <c r="D155" t="s">
        <v>42</v>
      </c>
      <c r="E155" s="1">
        <v>44987</v>
      </c>
      <c r="F155">
        <v>75</v>
      </c>
      <c r="G155">
        <v>2.7</v>
      </c>
      <c r="H155" t="str">
        <f>TEXT(calls[[#This Row],[Date of Call]],"DDDD")</f>
        <v>Thursday</v>
      </c>
      <c r="I155">
        <f>ROUND(calls[[#This Row],[Satisfaction Rating]],0)</f>
        <v>3</v>
      </c>
      <c r="N155" t="str" cm="1">
        <f t="array" ref="N155">_xlfn.IFS(_xlfn.SINGLE(calls[Duration])&lt;30,"UNDER 30 MINS",_xlfn.SINGLE(calls[Duration])&lt;60,"30 T0 60 MINS",_xlfn.SINGLE(calls[Duration])&lt;120,"1 TO 2 HRS",TRUE,"ABOVE 2 HRS")</f>
        <v>1 TO 2 HRS</v>
      </c>
    </row>
    <row r="156" spans="1:14" x14ac:dyDescent="0.3">
      <c r="A156" t="s">
        <v>190</v>
      </c>
      <c r="B156" t="s">
        <v>19</v>
      </c>
      <c r="C156">
        <v>98</v>
      </c>
      <c r="D156" t="s">
        <v>29</v>
      </c>
      <c r="E156" s="1">
        <v>44987</v>
      </c>
      <c r="F156">
        <v>100</v>
      </c>
      <c r="G156">
        <v>3.8</v>
      </c>
      <c r="H156" t="str">
        <f>TEXT(calls[[#This Row],[Date of Call]],"DDDD")</f>
        <v>Thursday</v>
      </c>
      <c r="I156">
        <f>ROUND(calls[[#This Row],[Satisfaction Rating]],0)</f>
        <v>4</v>
      </c>
      <c r="N156" t="str" cm="1">
        <f t="array" ref="N156">_xlfn.IFS(_xlfn.SINGLE(calls[Duration])&lt;30,"UNDER 30 MINS",_xlfn.SINGLE(calls[Duration])&lt;60,"30 T0 60 MINS",_xlfn.SINGLE(calls[Duration])&lt;120,"1 TO 2 HRS",TRUE,"ABOVE 2 HRS")</f>
        <v>1 TO 2 HRS</v>
      </c>
    </row>
    <row r="157" spans="1:14" x14ac:dyDescent="0.3">
      <c r="A157" t="s">
        <v>191</v>
      </c>
      <c r="B157" t="s">
        <v>31</v>
      </c>
      <c r="C157">
        <v>106</v>
      </c>
      <c r="D157" t="s">
        <v>23</v>
      </c>
      <c r="E157" s="1">
        <v>44987</v>
      </c>
      <c r="F157">
        <v>108</v>
      </c>
      <c r="G157">
        <v>4.3</v>
      </c>
      <c r="H157" t="str">
        <f>TEXT(calls[[#This Row],[Date of Call]],"DDDD")</f>
        <v>Thursday</v>
      </c>
      <c r="I157">
        <f>ROUND(calls[[#This Row],[Satisfaction Rating]],0)</f>
        <v>4</v>
      </c>
      <c r="N157" t="str" cm="1">
        <f t="array" ref="N157">_xlfn.IFS(_xlfn.SINGLE(calls[Duration])&lt;30,"UNDER 30 MINS",_xlfn.SINGLE(calls[Duration])&lt;60,"30 T0 60 MINS",_xlfn.SINGLE(calls[Duration])&lt;120,"1 TO 2 HRS",TRUE,"ABOVE 2 HRS")</f>
        <v>1 TO 2 HRS</v>
      </c>
    </row>
    <row r="158" spans="1:14" x14ac:dyDescent="0.3">
      <c r="A158" t="s">
        <v>192</v>
      </c>
      <c r="B158" t="s">
        <v>18</v>
      </c>
      <c r="C158">
        <v>96</v>
      </c>
      <c r="D158" t="s">
        <v>23</v>
      </c>
      <c r="E158" s="1">
        <v>44987</v>
      </c>
      <c r="F158">
        <v>108</v>
      </c>
      <c r="G158">
        <v>5</v>
      </c>
      <c r="H158" t="str">
        <f>TEXT(calls[[#This Row],[Date of Call]],"DDDD")</f>
        <v>Thursday</v>
      </c>
      <c r="I158">
        <f>ROUND(calls[[#This Row],[Satisfaction Rating]],0)</f>
        <v>5</v>
      </c>
      <c r="N158" t="str" cm="1">
        <f t="array" ref="N158">_xlfn.IFS(_xlfn.SINGLE(calls[Duration])&lt;30,"UNDER 30 MINS",_xlfn.SINGLE(calls[Duration])&lt;60,"30 T0 60 MINS",_xlfn.SINGLE(calls[Duration])&lt;120,"1 TO 2 HRS",TRUE,"ABOVE 2 HRS")</f>
        <v>1 TO 2 HRS</v>
      </c>
    </row>
    <row r="159" spans="1:14" x14ac:dyDescent="0.3">
      <c r="A159" t="s">
        <v>193</v>
      </c>
      <c r="B159" t="s">
        <v>26</v>
      </c>
      <c r="C159">
        <v>70</v>
      </c>
      <c r="D159" t="s">
        <v>23</v>
      </c>
      <c r="E159" s="1">
        <v>44987</v>
      </c>
      <c r="F159">
        <v>28</v>
      </c>
      <c r="G159">
        <v>4.8</v>
      </c>
      <c r="H159" t="str">
        <f>TEXT(calls[[#This Row],[Date of Call]],"DDDD")</f>
        <v>Thursday</v>
      </c>
      <c r="I159">
        <f>ROUND(calls[[#This Row],[Satisfaction Rating]],0)</f>
        <v>5</v>
      </c>
      <c r="N159" t="str" cm="1">
        <f t="array" ref="N159">_xlfn.IFS(_xlfn.SINGLE(calls[Duration])&lt;30,"UNDER 30 MINS",_xlfn.SINGLE(calls[Duration])&lt;60,"30 T0 60 MINS",_xlfn.SINGLE(calls[Duration])&lt;120,"1 TO 2 HRS",TRUE,"ABOVE 2 HRS")</f>
        <v>1 TO 2 HRS</v>
      </c>
    </row>
    <row r="160" spans="1:14" x14ac:dyDescent="0.3">
      <c r="A160" t="s">
        <v>194</v>
      </c>
      <c r="B160" t="s">
        <v>39</v>
      </c>
      <c r="C160">
        <v>86</v>
      </c>
      <c r="D160" t="s">
        <v>13</v>
      </c>
      <c r="E160" s="1">
        <v>44988</v>
      </c>
      <c r="F160">
        <v>70</v>
      </c>
      <c r="G160">
        <v>4.9000000000000004</v>
      </c>
      <c r="H160" t="str">
        <f>TEXT(calls[[#This Row],[Date of Call]],"DDDD")</f>
        <v>Friday</v>
      </c>
      <c r="I160">
        <f>ROUND(calls[[#This Row],[Satisfaction Rating]],0)</f>
        <v>5</v>
      </c>
      <c r="N160" t="str" cm="1">
        <f t="array" ref="N160">_xlfn.IFS(_xlfn.SINGLE(calls[Duration])&lt;30,"UNDER 30 MINS",_xlfn.SINGLE(calls[Duration])&lt;60,"30 T0 60 MINS",_xlfn.SINGLE(calls[Duration])&lt;120,"1 TO 2 HRS",TRUE,"ABOVE 2 HRS")</f>
        <v>1 TO 2 HRS</v>
      </c>
    </row>
    <row r="161" spans="1:14" x14ac:dyDescent="0.3">
      <c r="A161" t="s">
        <v>195</v>
      </c>
      <c r="B161" t="s">
        <v>22</v>
      </c>
      <c r="C161">
        <v>64</v>
      </c>
      <c r="D161" t="s">
        <v>13</v>
      </c>
      <c r="E161" s="1">
        <v>44988</v>
      </c>
      <c r="F161">
        <v>172</v>
      </c>
      <c r="G161">
        <v>4.0999999999999996</v>
      </c>
      <c r="H161" t="str">
        <f>TEXT(calls[[#This Row],[Date of Call]],"DDDD")</f>
        <v>Friday</v>
      </c>
      <c r="I161">
        <f>ROUND(calls[[#This Row],[Satisfaction Rating]],0)</f>
        <v>4</v>
      </c>
      <c r="N161" t="str" cm="1">
        <f t="array" ref="N161">_xlfn.IFS(_xlfn.SINGLE(calls[Duration])&lt;30,"UNDER 30 MINS",_xlfn.SINGLE(calls[Duration])&lt;60,"30 T0 60 MINS",_xlfn.SINGLE(calls[Duration])&lt;120,"1 TO 2 HRS",TRUE,"ABOVE 2 HRS")</f>
        <v>1 TO 2 HRS</v>
      </c>
    </row>
    <row r="162" spans="1:14" x14ac:dyDescent="0.3">
      <c r="A162" t="s">
        <v>196</v>
      </c>
      <c r="B162" t="s">
        <v>18</v>
      </c>
      <c r="C162">
        <v>113</v>
      </c>
      <c r="D162" t="s">
        <v>29</v>
      </c>
      <c r="E162" s="1">
        <v>44988</v>
      </c>
      <c r="F162">
        <v>123</v>
      </c>
      <c r="G162">
        <v>4.4000000000000004</v>
      </c>
      <c r="H162" t="str">
        <f>TEXT(calls[[#This Row],[Date of Call]],"DDDD")</f>
        <v>Friday</v>
      </c>
      <c r="I162">
        <f>ROUND(calls[[#This Row],[Satisfaction Rating]],0)</f>
        <v>4</v>
      </c>
      <c r="N162" t="str" cm="1">
        <f t="array" ref="N162">_xlfn.IFS(_xlfn.SINGLE(calls[Duration])&lt;30,"UNDER 30 MINS",_xlfn.SINGLE(calls[Duration])&lt;60,"30 T0 60 MINS",_xlfn.SINGLE(calls[Duration])&lt;120,"1 TO 2 HRS",TRUE,"ABOVE 2 HRS")</f>
        <v>1 TO 2 HRS</v>
      </c>
    </row>
    <row r="163" spans="1:14" x14ac:dyDescent="0.3">
      <c r="A163" t="s">
        <v>197</v>
      </c>
      <c r="B163" t="s">
        <v>18</v>
      </c>
      <c r="C163">
        <v>21</v>
      </c>
      <c r="D163" t="s">
        <v>23</v>
      </c>
      <c r="E163" s="1">
        <v>44988</v>
      </c>
      <c r="F163">
        <v>93</v>
      </c>
      <c r="G163">
        <v>3.4</v>
      </c>
      <c r="H163" t="str">
        <f>TEXT(calls[[#This Row],[Date of Call]],"DDDD")</f>
        <v>Friday</v>
      </c>
      <c r="I163">
        <f>ROUND(calls[[#This Row],[Satisfaction Rating]],0)</f>
        <v>3</v>
      </c>
      <c r="N163" t="str" cm="1">
        <f t="array" ref="N163">_xlfn.IFS(_xlfn.SINGLE(calls[Duration])&lt;30,"UNDER 30 MINS",_xlfn.SINGLE(calls[Duration])&lt;60,"30 T0 60 MINS",_xlfn.SINGLE(calls[Duration])&lt;120,"1 TO 2 HRS",TRUE,"ABOVE 2 HRS")</f>
        <v>UNDER 30 MINS</v>
      </c>
    </row>
    <row r="164" spans="1:14" x14ac:dyDescent="0.3">
      <c r="A164" t="s">
        <v>198</v>
      </c>
      <c r="B164" t="s">
        <v>46</v>
      </c>
      <c r="C164">
        <v>107</v>
      </c>
      <c r="D164" t="s">
        <v>13</v>
      </c>
      <c r="E164" s="1">
        <v>44988</v>
      </c>
      <c r="F164">
        <v>66</v>
      </c>
      <c r="G164">
        <v>4</v>
      </c>
      <c r="H164" t="str">
        <f>TEXT(calls[[#This Row],[Date of Call]],"DDDD")</f>
        <v>Friday</v>
      </c>
      <c r="I164">
        <f>ROUND(calls[[#This Row],[Satisfaction Rating]],0)</f>
        <v>4</v>
      </c>
      <c r="N164" t="str" cm="1">
        <f t="array" ref="N164">_xlfn.IFS(_xlfn.SINGLE(calls[Duration])&lt;30,"UNDER 30 MINS",_xlfn.SINGLE(calls[Duration])&lt;60,"30 T0 60 MINS",_xlfn.SINGLE(calls[Duration])&lt;120,"1 TO 2 HRS",TRUE,"ABOVE 2 HRS")</f>
        <v>1 TO 2 HRS</v>
      </c>
    </row>
    <row r="165" spans="1:14" x14ac:dyDescent="0.3">
      <c r="A165" t="s">
        <v>199</v>
      </c>
      <c r="B165" t="s">
        <v>46</v>
      </c>
      <c r="C165">
        <v>131</v>
      </c>
      <c r="D165" t="s">
        <v>23</v>
      </c>
      <c r="E165" s="1">
        <v>44988</v>
      </c>
      <c r="F165">
        <v>39</v>
      </c>
      <c r="G165">
        <v>2.4</v>
      </c>
      <c r="H165" t="str">
        <f>TEXT(calls[[#This Row],[Date of Call]],"DDDD")</f>
        <v>Friday</v>
      </c>
      <c r="I165">
        <f>ROUND(calls[[#This Row],[Satisfaction Rating]],0)</f>
        <v>2</v>
      </c>
      <c r="N165" t="str" cm="1">
        <f t="array" ref="N165">_xlfn.IFS(_xlfn.SINGLE(calls[Duration])&lt;30,"UNDER 30 MINS",_xlfn.SINGLE(calls[Duration])&lt;60,"30 T0 60 MINS",_xlfn.SINGLE(calls[Duration])&lt;120,"1 TO 2 HRS",TRUE,"ABOVE 2 HRS")</f>
        <v>ABOVE 2 HRS</v>
      </c>
    </row>
    <row r="166" spans="1:14" x14ac:dyDescent="0.3">
      <c r="A166" t="s">
        <v>200</v>
      </c>
      <c r="B166" t="s">
        <v>12</v>
      </c>
      <c r="C166">
        <v>11</v>
      </c>
      <c r="D166" t="s">
        <v>42</v>
      </c>
      <c r="E166" s="1">
        <v>44988</v>
      </c>
      <c r="F166">
        <v>25</v>
      </c>
      <c r="G166">
        <v>2.1</v>
      </c>
      <c r="H166" t="str">
        <f>TEXT(calls[[#This Row],[Date of Call]],"DDDD")</f>
        <v>Friday</v>
      </c>
      <c r="I166">
        <f>ROUND(calls[[#This Row],[Satisfaction Rating]],0)</f>
        <v>2</v>
      </c>
      <c r="N166" t="str" cm="1">
        <f t="array" ref="N166">_xlfn.IFS(_xlfn.SINGLE(calls[Duration])&lt;30,"UNDER 30 MINS",_xlfn.SINGLE(calls[Duration])&lt;60,"30 T0 60 MINS",_xlfn.SINGLE(calls[Duration])&lt;120,"1 TO 2 HRS",TRUE,"ABOVE 2 HRS")</f>
        <v>UNDER 30 MINS</v>
      </c>
    </row>
    <row r="167" spans="1:14" x14ac:dyDescent="0.3">
      <c r="A167" t="s">
        <v>201</v>
      </c>
      <c r="B167" t="s">
        <v>14</v>
      </c>
      <c r="C167">
        <v>86</v>
      </c>
      <c r="D167" t="s">
        <v>29</v>
      </c>
      <c r="E167" s="1">
        <v>44988</v>
      </c>
      <c r="F167">
        <v>68</v>
      </c>
      <c r="G167">
        <v>3</v>
      </c>
      <c r="H167" t="str">
        <f>TEXT(calls[[#This Row],[Date of Call]],"DDDD")</f>
        <v>Friday</v>
      </c>
      <c r="I167">
        <f>ROUND(calls[[#This Row],[Satisfaction Rating]],0)</f>
        <v>3</v>
      </c>
      <c r="N167" t="str" cm="1">
        <f t="array" ref="N167">_xlfn.IFS(_xlfn.SINGLE(calls[Duration])&lt;30,"UNDER 30 MINS",_xlfn.SINGLE(calls[Duration])&lt;60,"30 T0 60 MINS",_xlfn.SINGLE(calls[Duration])&lt;120,"1 TO 2 HRS",TRUE,"ABOVE 2 HRS")</f>
        <v>1 TO 2 HRS</v>
      </c>
    </row>
    <row r="168" spans="1:14" x14ac:dyDescent="0.3">
      <c r="A168" t="s">
        <v>202</v>
      </c>
      <c r="B168" t="s">
        <v>22</v>
      </c>
      <c r="C168">
        <v>28</v>
      </c>
      <c r="D168" t="s">
        <v>42</v>
      </c>
      <c r="E168" s="1">
        <v>44988</v>
      </c>
      <c r="F168">
        <v>84</v>
      </c>
      <c r="G168">
        <v>3.2</v>
      </c>
      <c r="H168" t="str">
        <f>TEXT(calls[[#This Row],[Date of Call]],"DDDD")</f>
        <v>Friday</v>
      </c>
      <c r="I168">
        <f>ROUND(calls[[#This Row],[Satisfaction Rating]],0)</f>
        <v>3</v>
      </c>
      <c r="N168" t="str" cm="1">
        <f t="array" ref="N168">_xlfn.IFS(_xlfn.SINGLE(calls[Duration])&lt;30,"UNDER 30 MINS",_xlfn.SINGLE(calls[Duration])&lt;60,"30 T0 60 MINS",_xlfn.SINGLE(calls[Duration])&lt;120,"1 TO 2 HRS",TRUE,"ABOVE 2 HRS")</f>
        <v>UNDER 30 MINS</v>
      </c>
    </row>
    <row r="169" spans="1:14" x14ac:dyDescent="0.3">
      <c r="A169" t="s">
        <v>203</v>
      </c>
      <c r="B169" t="s">
        <v>28</v>
      </c>
      <c r="C169">
        <v>139</v>
      </c>
      <c r="D169" t="s">
        <v>23</v>
      </c>
      <c r="E169" s="1">
        <v>44989</v>
      </c>
      <c r="F169">
        <v>88</v>
      </c>
      <c r="G169">
        <v>3.4</v>
      </c>
      <c r="H169" t="str">
        <f>TEXT(calls[[#This Row],[Date of Call]],"DDDD")</f>
        <v>Saturday</v>
      </c>
      <c r="I169">
        <f>ROUND(calls[[#This Row],[Satisfaction Rating]],0)</f>
        <v>3</v>
      </c>
      <c r="N169" t="str" cm="1">
        <f t="array" ref="N169">_xlfn.IFS(_xlfn.SINGLE(calls[Duration])&lt;30,"UNDER 30 MINS",_xlfn.SINGLE(calls[Duration])&lt;60,"30 T0 60 MINS",_xlfn.SINGLE(calls[Duration])&lt;120,"1 TO 2 HRS",TRUE,"ABOVE 2 HRS")</f>
        <v>ABOVE 2 HRS</v>
      </c>
    </row>
    <row r="170" spans="1:14" x14ac:dyDescent="0.3">
      <c r="A170" t="s">
        <v>204</v>
      </c>
      <c r="B170" t="s">
        <v>31</v>
      </c>
      <c r="C170">
        <v>82</v>
      </c>
      <c r="D170" t="s">
        <v>29</v>
      </c>
      <c r="E170" s="1">
        <v>44989</v>
      </c>
      <c r="F170">
        <v>93</v>
      </c>
      <c r="G170">
        <v>2.7</v>
      </c>
      <c r="H170" t="str">
        <f>TEXT(calls[[#This Row],[Date of Call]],"DDDD")</f>
        <v>Saturday</v>
      </c>
      <c r="I170">
        <f>ROUND(calls[[#This Row],[Satisfaction Rating]],0)</f>
        <v>3</v>
      </c>
      <c r="N170" t="str" cm="1">
        <f t="array" ref="N170">_xlfn.IFS(_xlfn.SINGLE(calls[Duration])&lt;30,"UNDER 30 MINS",_xlfn.SINGLE(calls[Duration])&lt;60,"30 T0 60 MINS",_xlfn.SINGLE(calls[Duration])&lt;120,"1 TO 2 HRS",TRUE,"ABOVE 2 HRS")</f>
        <v>1 TO 2 HRS</v>
      </c>
    </row>
    <row r="171" spans="1:14" x14ac:dyDescent="0.3">
      <c r="A171" t="s">
        <v>205</v>
      </c>
      <c r="B171" t="s">
        <v>18</v>
      </c>
      <c r="C171">
        <v>101</v>
      </c>
      <c r="D171" t="s">
        <v>42</v>
      </c>
      <c r="E171" s="1">
        <v>44989</v>
      </c>
      <c r="F171">
        <v>128</v>
      </c>
      <c r="G171">
        <v>5</v>
      </c>
      <c r="H171" t="str">
        <f>TEXT(calls[[#This Row],[Date of Call]],"DDDD")</f>
        <v>Saturday</v>
      </c>
      <c r="I171">
        <f>ROUND(calls[[#This Row],[Satisfaction Rating]],0)</f>
        <v>5</v>
      </c>
      <c r="N171" t="str" cm="1">
        <f t="array" ref="N171">_xlfn.IFS(_xlfn.SINGLE(calls[Duration])&lt;30,"UNDER 30 MINS",_xlfn.SINGLE(calls[Duration])&lt;60,"30 T0 60 MINS",_xlfn.SINGLE(calls[Duration])&lt;120,"1 TO 2 HRS",TRUE,"ABOVE 2 HRS")</f>
        <v>1 TO 2 HRS</v>
      </c>
    </row>
    <row r="172" spans="1:14" x14ac:dyDescent="0.3">
      <c r="A172" t="s">
        <v>206</v>
      </c>
      <c r="B172" t="s">
        <v>22</v>
      </c>
      <c r="C172">
        <v>75</v>
      </c>
      <c r="D172" t="s">
        <v>36</v>
      </c>
      <c r="E172" s="1">
        <v>44989</v>
      </c>
      <c r="F172">
        <v>40</v>
      </c>
      <c r="G172">
        <v>3.4</v>
      </c>
      <c r="H172" t="str">
        <f>TEXT(calls[[#This Row],[Date of Call]],"DDDD")</f>
        <v>Saturday</v>
      </c>
      <c r="I172">
        <f>ROUND(calls[[#This Row],[Satisfaction Rating]],0)</f>
        <v>3</v>
      </c>
      <c r="N172" t="str" cm="1">
        <f t="array" ref="N172">_xlfn.IFS(_xlfn.SINGLE(calls[Duration])&lt;30,"UNDER 30 MINS",_xlfn.SINGLE(calls[Duration])&lt;60,"30 T0 60 MINS",_xlfn.SINGLE(calls[Duration])&lt;120,"1 TO 2 HRS",TRUE,"ABOVE 2 HRS")</f>
        <v>1 TO 2 HRS</v>
      </c>
    </row>
    <row r="173" spans="1:14" x14ac:dyDescent="0.3">
      <c r="A173" t="s">
        <v>207</v>
      </c>
      <c r="B173" t="s">
        <v>41</v>
      </c>
      <c r="C173">
        <v>40</v>
      </c>
      <c r="D173" t="s">
        <v>42</v>
      </c>
      <c r="E173" s="1">
        <v>44990</v>
      </c>
      <c r="F173">
        <v>92</v>
      </c>
      <c r="G173">
        <v>4.7</v>
      </c>
      <c r="H173" t="str">
        <f>TEXT(calls[[#This Row],[Date of Call]],"DDDD")</f>
        <v>Sunday</v>
      </c>
      <c r="I173">
        <f>ROUND(calls[[#This Row],[Satisfaction Rating]],0)</f>
        <v>5</v>
      </c>
      <c r="N173" t="str" cm="1">
        <f t="array" ref="N173">_xlfn.IFS(_xlfn.SINGLE(calls[Duration])&lt;30,"UNDER 30 MINS",_xlfn.SINGLE(calls[Duration])&lt;60,"30 T0 60 MINS",_xlfn.SINGLE(calls[Duration])&lt;120,"1 TO 2 HRS",TRUE,"ABOVE 2 HRS")</f>
        <v>30 T0 60 MINS</v>
      </c>
    </row>
    <row r="174" spans="1:14" x14ac:dyDescent="0.3">
      <c r="A174" t="s">
        <v>208</v>
      </c>
      <c r="B174" t="s">
        <v>19</v>
      </c>
      <c r="C174">
        <v>86</v>
      </c>
      <c r="D174" t="s">
        <v>23</v>
      </c>
      <c r="E174" s="1">
        <v>44990</v>
      </c>
      <c r="F174">
        <v>27</v>
      </c>
      <c r="G174">
        <v>4.5</v>
      </c>
      <c r="H174" t="str">
        <f>TEXT(calls[[#This Row],[Date of Call]],"DDDD")</f>
        <v>Sunday</v>
      </c>
      <c r="I174">
        <f>ROUND(calls[[#This Row],[Satisfaction Rating]],0)</f>
        <v>5</v>
      </c>
      <c r="N174" t="str" cm="1">
        <f t="array" ref="N174">_xlfn.IFS(_xlfn.SINGLE(calls[Duration])&lt;30,"UNDER 30 MINS",_xlfn.SINGLE(calls[Duration])&lt;60,"30 T0 60 MINS",_xlfn.SINGLE(calls[Duration])&lt;120,"1 TO 2 HRS",TRUE,"ABOVE 2 HRS")</f>
        <v>1 TO 2 HRS</v>
      </c>
    </row>
    <row r="175" spans="1:14" x14ac:dyDescent="0.3">
      <c r="A175" t="s">
        <v>209</v>
      </c>
      <c r="B175" t="s">
        <v>33</v>
      </c>
      <c r="C175">
        <v>131</v>
      </c>
      <c r="D175" t="s">
        <v>13</v>
      </c>
      <c r="E175" s="1">
        <v>44990</v>
      </c>
      <c r="F175">
        <v>140</v>
      </c>
      <c r="G175">
        <v>4.0999999999999996</v>
      </c>
      <c r="H175" t="str">
        <f>TEXT(calls[[#This Row],[Date of Call]],"DDDD")</f>
        <v>Sunday</v>
      </c>
      <c r="I175">
        <f>ROUND(calls[[#This Row],[Satisfaction Rating]],0)</f>
        <v>4</v>
      </c>
      <c r="N175" t="str" cm="1">
        <f t="array" ref="N175">_xlfn.IFS(_xlfn.SINGLE(calls[Duration])&lt;30,"UNDER 30 MINS",_xlfn.SINGLE(calls[Duration])&lt;60,"30 T0 60 MINS",_xlfn.SINGLE(calls[Duration])&lt;120,"1 TO 2 HRS",TRUE,"ABOVE 2 HRS")</f>
        <v>ABOVE 2 HRS</v>
      </c>
    </row>
    <row r="176" spans="1:14" x14ac:dyDescent="0.3">
      <c r="A176" t="s">
        <v>210</v>
      </c>
      <c r="B176" t="s">
        <v>46</v>
      </c>
      <c r="C176">
        <v>67</v>
      </c>
      <c r="D176" t="s">
        <v>29</v>
      </c>
      <c r="E176" s="1">
        <v>44990</v>
      </c>
      <c r="F176">
        <v>40</v>
      </c>
      <c r="G176">
        <v>5</v>
      </c>
      <c r="H176" t="str">
        <f>TEXT(calls[[#This Row],[Date of Call]],"DDDD")</f>
        <v>Sunday</v>
      </c>
      <c r="I176">
        <f>ROUND(calls[[#This Row],[Satisfaction Rating]],0)</f>
        <v>5</v>
      </c>
      <c r="N176" t="str" cm="1">
        <f t="array" ref="N176">_xlfn.IFS(_xlfn.SINGLE(calls[Duration])&lt;30,"UNDER 30 MINS",_xlfn.SINGLE(calls[Duration])&lt;60,"30 T0 60 MINS",_xlfn.SINGLE(calls[Duration])&lt;120,"1 TO 2 HRS",TRUE,"ABOVE 2 HRS")</f>
        <v>1 TO 2 HRS</v>
      </c>
    </row>
    <row r="177" spans="1:14" x14ac:dyDescent="0.3">
      <c r="A177" t="s">
        <v>211</v>
      </c>
      <c r="B177" t="s">
        <v>37</v>
      </c>
      <c r="C177">
        <v>71</v>
      </c>
      <c r="D177" t="s">
        <v>42</v>
      </c>
      <c r="E177" s="1">
        <v>44990</v>
      </c>
      <c r="F177">
        <v>102</v>
      </c>
      <c r="G177">
        <v>4.7</v>
      </c>
      <c r="H177" t="str">
        <f>TEXT(calls[[#This Row],[Date of Call]],"DDDD")</f>
        <v>Sunday</v>
      </c>
      <c r="I177">
        <f>ROUND(calls[[#This Row],[Satisfaction Rating]],0)</f>
        <v>5</v>
      </c>
      <c r="N177" t="str" cm="1">
        <f t="array" ref="N177">_xlfn.IFS(_xlfn.SINGLE(calls[Duration])&lt;30,"UNDER 30 MINS",_xlfn.SINGLE(calls[Duration])&lt;60,"30 T0 60 MINS",_xlfn.SINGLE(calls[Duration])&lt;120,"1 TO 2 HRS",TRUE,"ABOVE 2 HRS")</f>
        <v>1 TO 2 HRS</v>
      </c>
    </row>
    <row r="178" spans="1:14" x14ac:dyDescent="0.3">
      <c r="A178" t="s">
        <v>212</v>
      </c>
      <c r="B178" t="s">
        <v>33</v>
      </c>
      <c r="C178">
        <v>113</v>
      </c>
      <c r="D178" t="s">
        <v>13</v>
      </c>
      <c r="E178" s="1">
        <v>44990</v>
      </c>
      <c r="F178">
        <v>42</v>
      </c>
      <c r="G178">
        <v>4.2</v>
      </c>
      <c r="H178" t="str">
        <f>TEXT(calls[[#This Row],[Date of Call]],"DDDD")</f>
        <v>Sunday</v>
      </c>
      <c r="I178">
        <f>ROUND(calls[[#This Row],[Satisfaction Rating]],0)</f>
        <v>4</v>
      </c>
      <c r="N178" t="str" cm="1">
        <f t="array" ref="N178">_xlfn.IFS(_xlfn.SINGLE(calls[Duration])&lt;30,"UNDER 30 MINS",_xlfn.SINGLE(calls[Duration])&lt;60,"30 T0 60 MINS",_xlfn.SINGLE(calls[Duration])&lt;120,"1 TO 2 HRS",TRUE,"ABOVE 2 HRS")</f>
        <v>1 TO 2 HRS</v>
      </c>
    </row>
    <row r="179" spans="1:14" x14ac:dyDescent="0.3">
      <c r="A179" t="s">
        <v>213</v>
      </c>
      <c r="B179" t="s">
        <v>31</v>
      </c>
      <c r="C179">
        <v>53</v>
      </c>
      <c r="D179" t="s">
        <v>23</v>
      </c>
      <c r="E179" s="1">
        <v>44991</v>
      </c>
      <c r="F179">
        <v>210</v>
      </c>
      <c r="G179">
        <v>3.9</v>
      </c>
      <c r="H179" t="str">
        <f>TEXT(calls[[#This Row],[Date of Call]],"DDDD")</f>
        <v>Monday</v>
      </c>
      <c r="I179">
        <f>ROUND(calls[[#This Row],[Satisfaction Rating]],0)</f>
        <v>4</v>
      </c>
      <c r="N179" t="str" cm="1">
        <f t="array" ref="N179">_xlfn.IFS(_xlfn.SINGLE(calls[Duration])&lt;30,"UNDER 30 MINS",_xlfn.SINGLE(calls[Duration])&lt;60,"30 T0 60 MINS",_xlfn.SINGLE(calls[Duration])&lt;120,"1 TO 2 HRS",TRUE,"ABOVE 2 HRS")</f>
        <v>30 T0 60 MINS</v>
      </c>
    </row>
    <row r="180" spans="1:14" x14ac:dyDescent="0.3">
      <c r="A180" t="s">
        <v>214</v>
      </c>
      <c r="B180" t="s">
        <v>33</v>
      </c>
      <c r="C180">
        <v>153</v>
      </c>
      <c r="D180" t="s">
        <v>29</v>
      </c>
      <c r="E180" s="1">
        <v>44991</v>
      </c>
      <c r="F180">
        <v>34</v>
      </c>
      <c r="G180">
        <v>3</v>
      </c>
      <c r="H180" t="str">
        <f>TEXT(calls[[#This Row],[Date of Call]],"DDDD")</f>
        <v>Monday</v>
      </c>
      <c r="I180">
        <f>ROUND(calls[[#This Row],[Satisfaction Rating]],0)</f>
        <v>3</v>
      </c>
      <c r="N180" t="str" cm="1">
        <f t="array" ref="N180">_xlfn.IFS(_xlfn.SINGLE(calls[Duration])&lt;30,"UNDER 30 MINS",_xlfn.SINGLE(calls[Duration])&lt;60,"30 T0 60 MINS",_xlfn.SINGLE(calls[Duration])&lt;120,"1 TO 2 HRS",TRUE,"ABOVE 2 HRS")</f>
        <v>ABOVE 2 HRS</v>
      </c>
    </row>
    <row r="181" spans="1:14" x14ac:dyDescent="0.3">
      <c r="A181" t="s">
        <v>215</v>
      </c>
      <c r="B181" t="s">
        <v>46</v>
      </c>
      <c r="C181">
        <v>73</v>
      </c>
      <c r="D181" t="s">
        <v>36</v>
      </c>
      <c r="E181" s="1">
        <v>44991</v>
      </c>
      <c r="F181">
        <v>215</v>
      </c>
      <c r="G181">
        <v>3.6</v>
      </c>
      <c r="H181" t="str">
        <f>TEXT(calls[[#This Row],[Date of Call]],"DDDD")</f>
        <v>Monday</v>
      </c>
      <c r="I181">
        <f>ROUND(calls[[#This Row],[Satisfaction Rating]],0)</f>
        <v>4</v>
      </c>
      <c r="N181" t="str" cm="1">
        <f t="array" ref="N181">_xlfn.IFS(_xlfn.SINGLE(calls[Duration])&lt;30,"UNDER 30 MINS",_xlfn.SINGLE(calls[Duration])&lt;60,"30 T0 60 MINS",_xlfn.SINGLE(calls[Duration])&lt;120,"1 TO 2 HRS",TRUE,"ABOVE 2 HRS")</f>
        <v>1 TO 2 HRS</v>
      </c>
    </row>
    <row r="182" spans="1:14" x14ac:dyDescent="0.3">
      <c r="A182" t="s">
        <v>216</v>
      </c>
      <c r="B182" t="s">
        <v>39</v>
      </c>
      <c r="C182">
        <v>62</v>
      </c>
      <c r="D182" t="s">
        <v>36</v>
      </c>
      <c r="E182" s="1">
        <v>44991</v>
      </c>
      <c r="F182">
        <v>32</v>
      </c>
      <c r="G182">
        <v>0.7</v>
      </c>
      <c r="H182" t="str">
        <f>TEXT(calls[[#This Row],[Date of Call]],"DDDD")</f>
        <v>Monday</v>
      </c>
      <c r="I182">
        <f>ROUND(calls[[#This Row],[Satisfaction Rating]],0)</f>
        <v>1</v>
      </c>
      <c r="N182" t="str" cm="1">
        <f t="array" ref="N182">_xlfn.IFS(_xlfn.SINGLE(calls[Duration])&lt;30,"UNDER 30 MINS",_xlfn.SINGLE(calls[Duration])&lt;60,"30 T0 60 MINS",_xlfn.SINGLE(calls[Duration])&lt;120,"1 TO 2 HRS",TRUE,"ABOVE 2 HRS")</f>
        <v>1 TO 2 HRS</v>
      </c>
    </row>
    <row r="183" spans="1:14" x14ac:dyDescent="0.3">
      <c r="A183" t="s">
        <v>217</v>
      </c>
      <c r="B183" t="s">
        <v>28</v>
      </c>
      <c r="C183">
        <v>115</v>
      </c>
      <c r="D183" t="s">
        <v>23</v>
      </c>
      <c r="E183" s="1">
        <v>44992</v>
      </c>
      <c r="F183">
        <v>48</v>
      </c>
      <c r="G183">
        <v>4.7</v>
      </c>
      <c r="H183" t="str">
        <f>TEXT(calls[[#This Row],[Date of Call]],"DDDD")</f>
        <v>Tuesday</v>
      </c>
      <c r="I183">
        <f>ROUND(calls[[#This Row],[Satisfaction Rating]],0)</f>
        <v>5</v>
      </c>
      <c r="N183" t="str" cm="1">
        <f t="array" ref="N183">_xlfn.IFS(_xlfn.SINGLE(calls[Duration])&lt;30,"UNDER 30 MINS",_xlfn.SINGLE(calls[Duration])&lt;60,"30 T0 60 MINS",_xlfn.SINGLE(calls[Duration])&lt;120,"1 TO 2 HRS",TRUE,"ABOVE 2 HRS")</f>
        <v>1 TO 2 HRS</v>
      </c>
    </row>
    <row r="184" spans="1:14" x14ac:dyDescent="0.3">
      <c r="A184" t="s">
        <v>218</v>
      </c>
      <c r="B184" t="s">
        <v>33</v>
      </c>
      <c r="C184">
        <v>69</v>
      </c>
      <c r="D184" t="s">
        <v>23</v>
      </c>
      <c r="E184" s="1">
        <v>44992</v>
      </c>
      <c r="F184">
        <v>132</v>
      </c>
      <c r="G184">
        <v>4.5</v>
      </c>
      <c r="H184" t="str">
        <f>TEXT(calls[[#This Row],[Date of Call]],"DDDD")</f>
        <v>Tuesday</v>
      </c>
      <c r="I184">
        <f>ROUND(calls[[#This Row],[Satisfaction Rating]],0)</f>
        <v>5</v>
      </c>
      <c r="N184" t="str" cm="1">
        <f t="array" ref="N184">_xlfn.IFS(_xlfn.SINGLE(calls[Duration])&lt;30,"UNDER 30 MINS",_xlfn.SINGLE(calls[Duration])&lt;60,"30 T0 60 MINS",_xlfn.SINGLE(calls[Duration])&lt;120,"1 TO 2 HRS",TRUE,"ABOVE 2 HRS")</f>
        <v>1 TO 2 HRS</v>
      </c>
    </row>
    <row r="185" spans="1:14" x14ac:dyDescent="0.3">
      <c r="A185" t="s">
        <v>219</v>
      </c>
      <c r="B185" t="s">
        <v>19</v>
      </c>
      <c r="C185">
        <v>103</v>
      </c>
      <c r="D185" t="s">
        <v>13</v>
      </c>
      <c r="E185" s="1">
        <v>44992</v>
      </c>
      <c r="F185">
        <v>172</v>
      </c>
      <c r="G185">
        <v>4.3</v>
      </c>
      <c r="H185" t="str">
        <f>TEXT(calls[[#This Row],[Date of Call]],"DDDD")</f>
        <v>Tuesday</v>
      </c>
      <c r="I185">
        <f>ROUND(calls[[#This Row],[Satisfaction Rating]],0)</f>
        <v>4</v>
      </c>
      <c r="N185" t="str" cm="1">
        <f t="array" ref="N185">_xlfn.IFS(_xlfn.SINGLE(calls[Duration])&lt;30,"UNDER 30 MINS",_xlfn.SINGLE(calls[Duration])&lt;60,"30 T0 60 MINS",_xlfn.SINGLE(calls[Duration])&lt;120,"1 TO 2 HRS",TRUE,"ABOVE 2 HRS")</f>
        <v>1 TO 2 HRS</v>
      </c>
    </row>
    <row r="186" spans="1:14" x14ac:dyDescent="0.3">
      <c r="A186" t="s">
        <v>220</v>
      </c>
      <c r="B186" t="s">
        <v>19</v>
      </c>
      <c r="C186">
        <v>75</v>
      </c>
      <c r="D186" t="s">
        <v>13</v>
      </c>
      <c r="E186" s="1">
        <v>44992</v>
      </c>
      <c r="F186">
        <v>111</v>
      </c>
      <c r="G186">
        <v>3.4</v>
      </c>
      <c r="H186" t="str">
        <f>TEXT(calls[[#This Row],[Date of Call]],"DDDD")</f>
        <v>Tuesday</v>
      </c>
      <c r="I186">
        <f>ROUND(calls[[#This Row],[Satisfaction Rating]],0)</f>
        <v>3</v>
      </c>
      <c r="N186" t="str" cm="1">
        <f t="array" ref="N186">_xlfn.IFS(_xlfn.SINGLE(calls[Duration])&lt;30,"UNDER 30 MINS",_xlfn.SINGLE(calls[Duration])&lt;60,"30 T0 60 MINS",_xlfn.SINGLE(calls[Duration])&lt;120,"1 TO 2 HRS",TRUE,"ABOVE 2 HRS")</f>
        <v>1 TO 2 HRS</v>
      </c>
    </row>
    <row r="187" spans="1:14" x14ac:dyDescent="0.3">
      <c r="A187" t="s">
        <v>221</v>
      </c>
      <c r="B187" t="s">
        <v>45</v>
      </c>
      <c r="C187">
        <v>92</v>
      </c>
      <c r="D187" t="s">
        <v>13</v>
      </c>
      <c r="E187" s="1">
        <v>44992</v>
      </c>
      <c r="F187">
        <v>58</v>
      </c>
      <c r="G187">
        <v>3.6</v>
      </c>
      <c r="H187" t="str">
        <f>TEXT(calls[[#This Row],[Date of Call]],"DDDD")</f>
        <v>Tuesday</v>
      </c>
      <c r="I187">
        <f>ROUND(calls[[#This Row],[Satisfaction Rating]],0)</f>
        <v>4</v>
      </c>
      <c r="N187" t="str" cm="1">
        <f t="array" ref="N187">_xlfn.IFS(_xlfn.SINGLE(calls[Duration])&lt;30,"UNDER 30 MINS",_xlfn.SINGLE(calls[Duration])&lt;60,"30 T0 60 MINS",_xlfn.SINGLE(calls[Duration])&lt;120,"1 TO 2 HRS",TRUE,"ABOVE 2 HRS")</f>
        <v>1 TO 2 HRS</v>
      </c>
    </row>
    <row r="188" spans="1:14" x14ac:dyDescent="0.3">
      <c r="A188" t="s">
        <v>222</v>
      </c>
      <c r="B188" t="s">
        <v>45</v>
      </c>
      <c r="C188">
        <v>41</v>
      </c>
      <c r="D188" t="s">
        <v>36</v>
      </c>
      <c r="E188" s="1">
        <v>44992</v>
      </c>
      <c r="F188">
        <v>68</v>
      </c>
      <c r="G188">
        <v>4</v>
      </c>
      <c r="H188" t="str">
        <f>TEXT(calls[[#This Row],[Date of Call]],"DDDD")</f>
        <v>Tuesday</v>
      </c>
      <c r="I188">
        <f>ROUND(calls[[#This Row],[Satisfaction Rating]],0)</f>
        <v>4</v>
      </c>
      <c r="N188" t="str" cm="1">
        <f t="array" ref="N188">_xlfn.IFS(_xlfn.SINGLE(calls[Duration])&lt;30,"UNDER 30 MINS",_xlfn.SINGLE(calls[Duration])&lt;60,"30 T0 60 MINS",_xlfn.SINGLE(calls[Duration])&lt;120,"1 TO 2 HRS",TRUE,"ABOVE 2 HRS")</f>
        <v>30 T0 60 MINS</v>
      </c>
    </row>
    <row r="189" spans="1:14" x14ac:dyDescent="0.3">
      <c r="A189" t="s">
        <v>223</v>
      </c>
      <c r="B189" t="s">
        <v>19</v>
      </c>
      <c r="C189">
        <v>134</v>
      </c>
      <c r="D189" t="s">
        <v>29</v>
      </c>
      <c r="E189" s="1">
        <v>44992</v>
      </c>
      <c r="F189">
        <v>160</v>
      </c>
      <c r="G189">
        <v>4.5</v>
      </c>
      <c r="H189" t="str">
        <f>TEXT(calls[[#This Row],[Date of Call]],"DDDD")</f>
        <v>Tuesday</v>
      </c>
      <c r="I189">
        <f>ROUND(calls[[#This Row],[Satisfaction Rating]],0)</f>
        <v>5</v>
      </c>
      <c r="N189" t="str" cm="1">
        <f t="array" ref="N189">_xlfn.IFS(_xlfn.SINGLE(calls[Duration])&lt;30,"UNDER 30 MINS",_xlfn.SINGLE(calls[Duration])&lt;60,"30 T0 60 MINS",_xlfn.SINGLE(calls[Duration])&lt;120,"1 TO 2 HRS",TRUE,"ABOVE 2 HRS")</f>
        <v>ABOVE 2 HRS</v>
      </c>
    </row>
    <row r="190" spans="1:14" x14ac:dyDescent="0.3">
      <c r="A190" t="s">
        <v>224</v>
      </c>
      <c r="B190" t="s">
        <v>14</v>
      </c>
      <c r="C190">
        <v>80</v>
      </c>
      <c r="D190" t="s">
        <v>42</v>
      </c>
      <c r="E190" s="1">
        <v>44992</v>
      </c>
      <c r="F190">
        <v>45</v>
      </c>
      <c r="G190">
        <v>3</v>
      </c>
      <c r="H190" t="str">
        <f>TEXT(calls[[#This Row],[Date of Call]],"DDDD")</f>
        <v>Tuesday</v>
      </c>
      <c r="I190">
        <f>ROUND(calls[[#This Row],[Satisfaction Rating]],0)</f>
        <v>3</v>
      </c>
      <c r="N190" t="str" cm="1">
        <f t="array" ref="N190">_xlfn.IFS(_xlfn.SINGLE(calls[Duration])&lt;30,"UNDER 30 MINS",_xlfn.SINGLE(calls[Duration])&lt;60,"30 T0 60 MINS",_xlfn.SINGLE(calls[Duration])&lt;120,"1 TO 2 HRS",TRUE,"ABOVE 2 HRS")</f>
        <v>1 TO 2 HRS</v>
      </c>
    </row>
    <row r="191" spans="1:14" x14ac:dyDescent="0.3">
      <c r="A191" t="s">
        <v>225</v>
      </c>
      <c r="B191" t="s">
        <v>37</v>
      </c>
      <c r="C191">
        <v>103</v>
      </c>
      <c r="D191" t="s">
        <v>23</v>
      </c>
      <c r="E191" s="1">
        <v>44993</v>
      </c>
      <c r="F191">
        <v>117</v>
      </c>
      <c r="G191">
        <v>3</v>
      </c>
      <c r="H191" t="str">
        <f>TEXT(calls[[#This Row],[Date of Call]],"DDDD")</f>
        <v>Wednesday</v>
      </c>
      <c r="I191">
        <f>ROUND(calls[[#This Row],[Satisfaction Rating]],0)</f>
        <v>3</v>
      </c>
      <c r="N191" t="str" cm="1">
        <f t="array" ref="N191">_xlfn.IFS(_xlfn.SINGLE(calls[Duration])&lt;30,"UNDER 30 MINS",_xlfn.SINGLE(calls[Duration])&lt;60,"30 T0 60 MINS",_xlfn.SINGLE(calls[Duration])&lt;120,"1 TO 2 HRS",TRUE,"ABOVE 2 HRS")</f>
        <v>1 TO 2 HRS</v>
      </c>
    </row>
    <row r="192" spans="1:14" x14ac:dyDescent="0.3">
      <c r="A192" t="s">
        <v>226</v>
      </c>
      <c r="B192" t="s">
        <v>31</v>
      </c>
      <c r="C192">
        <v>20</v>
      </c>
      <c r="D192" t="s">
        <v>13</v>
      </c>
      <c r="E192" s="1">
        <v>44994</v>
      </c>
      <c r="F192">
        <v>22</v>
      </c>
      <c r="G192">
        <v>1.6</v>
      </c>
      <c r="H192" t="str">
        <f>TEXT(calls[[#This Row],[Date of Call]],"DDDD")</f>
        <v>Thursday</v>
      </c>
      <c r="I192">
        <f>ROUND(calls[[#This Row],[Satisfaction Rating]],0)</f>
        <v>2</v>
      </c>
      <c r="N192" t="str" cm="1">
        <f t="array" ref="N192">_xlfn.IFS(_xlfn.SINGLE(calls[Duration])&lt;30,"UNDER 30 MINS",_xlfn.SINGLE(calls[Duration])&lt;60,"30 T0 60 MINS",_xlfn.SINGLE(calls[Duration])&lt;120,"1 TO 2 HRS",TRUE,"ABOVE 2 HRS")</f>
        <v>UNDER 30 MINS</v>
      </c>
    </row>
    <row r="193" spans="1:14" x14ac:dyDescent="0.3">
      <c r="A193" t="s">
        <v>227</v>
      </c>
      <c r="B193" t="s">
        <v>37</v>
      </c>
      <c r="C193">
        <v>75</v>
      </c>
      <c r="D193" t="s">
        <v>42</v>
      </c>
      <c r="E193" s="1">
        <v>44994</v>
      </c>
      <c r="F193">
        <v>195</v>
      </c>
      <c r="G193">
        <v>3</v>
      </c>
      <c r="H193" t="str">
        <f>TEXT(calls[[#This Row],[Date of Call]],"DDDD")</f>
        <v>Thursday</v>
      </c>
      <c r="I193">
        <f>ROUND(calls[[#This Row],[Satisfaction Rating]],0)</f>
        <v>3</v>
      </c>
      <c r="N193" t="str" cm="1">
        <f t="array" ref="N193">_xlfn.IFS(_xlfn.SINGLE(calls[Duration])&lt;30,"UNDER 30 MINS",_xlfn.SINGLE(calls[Duration])&lt;60,"30 T0 60 MINS",_xlfn.SINGLE(calls[Duration])&lt;120,"1 TO 2 HRS",TRUE,"ABOVE 2 HRS")</f>
        <v>1 TO 2 HRS</v>
      </c>
    </row>
    <row r="194" spans="1:14" x14ac:dyDescent="0.3">
      <c r="A194" t="s">
        <v>228</v>
      </c>
      <c r="B194" t="s">
        <v>45</v>
      </c>
      <c r="C194">
        <v>80</v>
      </c>
      <c r="D194" t="s">
        <v>29</v>
      </c>
      <c r="E194" s="1">
        <v>44994</v>
      </c>
      <c r="F194">
        <v>168</v>
      </c>
      <c r="G194">
        <v>3.7</v>
      </c>
      <c r="H194" t="str">
        <f>TEXT(calls[[#This Row],[Date of Call]],"DDDD")</f>
        <v>Thursday</v>
      </c>
      <c r="I194">
        <f>ROUND(calls[[#This Row],[Satisfaction Rating]],0)</f>
        <v>4</v>
      </c>
      <c r="N194" t="str" cm="1">
        <f t="array" ref="N194">_xlfn.IFS(_xlfn.SINGLE(calls[Duration])&lt;30,"UNDER 30 MINS",_xlfn.SINGLE(calls[Duration])&lt;60,"30 T0 60 MINS",_xlfn.SINGLE(calls[Duration])&lt;120,"1 TO 2 HRS",TRUE,"ABOVE 2 HRS")</f>
        <v>1 TO 2 HRS</v>
      </c>
    </row>
    <row r="195" spans="1:14" x14ac:dyDescent="0.3">
      <c r="A195" t="s">
        <v>229</v>
      </c>
      <c r="B195" t="s">
        <v>33</v>
      </c>
      <c r="C195">
        <v>85</v>
      </c>
      <c r="D195" t="s">
        <v>36</v>
      </c>
      <c r="E195" s="1">
        <v>44995</v>
      </c>
      <c r="F195">
        <v>46</v>
      </c>
      <c r="G195">
        <v>4.9000000000000004</v>
      </c>
      <c r="H195" t="str">
        <f>TEXT(calls[[#This Row],[Date of Call]],"DDDD")</f>
        <v>Friday</v>
      </c>
      <c r="I195">
        <f>ROUND(calls[[#This Row],[Satisfaction Rating]],0)</f>
        <v>5</v>
      </c>
      <c r="N195" t="str" cm="1">
        <f t="array" ref="N195">_xlfn.IFS(_xlfn.SINGLE(calls[Duration])&lt;30,"UNDER 30 MINS",_xlfn.SINGLE(calls[Duration])&lt;60,"30 T0 60 MINS",_xlfn.SINGLE(calls[Duration])&lt;120,"1 TO 2 HRS",TRUE,"ABOVE 2 HRS")</f>
        <v>1 TO 2 HRS</v>
      </c>
    </row>
    <row r="196" spans="1:14" x14ac:dyDescent="0.3">
      <c r="A196" t="s">
        <v>230</v>
      </c>
      <c r="B196" t="s">
        <v>18</v>
      </c>
      <c r="C196">
        <v>155</v>
      </c>
      <c r="D196" t="s">
        <v>13</v>
      </c>
      <c r="E196" s="1">
        <v>44995</v>
      </c>
      <c r="F196">
        <v>164</v>
      </c>
      <c r="G196">
        <v>3.4</v>
      </c>
      <c r="H196" t="str">
        <f>TEXT(calls[[#This Row],[Date of Call]],"DDDD")</f>
        <v>Friday</v>
      </c>
      <c r="I196">
        <f>ROUND(calls[[#This Row],[Satisfaction Rating]],0)</f>
        <v>3</v>
      </c>
      <c r="N196" t="str" cm="1">
        <f t="array" ref="N196">_xlfn.IFS(_xlfn.SINGLE(calls[Duration])&lt;30,"UNDER 30 MINS",_xlfn.SINGLE(calls[Duration])&lt;60,"30 T0 60 MINS",_xlfn.SINGLE(calls[Duration])&lt;120,"1 TO 2 HRS",TRUE,"ABOVE 2 HRS")</f>
        <v>ABOVE 2 HRS</v>
      </c>
    </row>
    <row r="197" spans="1:14" x14ac:dyDescent="0.3">
      <c r="A197" t="s">
        <v>231</v>
      </c>
      <c r="B197" t="s">
        <v>33</v>
      </c>
      <c r="C197">
        <v>63</v>
      </c>
      <c r="D197" t="s">
        <v>36</v>
      </c>
      <c r="E197" s="1">
        <v>44995</v>
      </c>
      <c r="F197">
        <v>48</v>
      </c>
      <c r="G197">
        <v>5</v>
      </c>
      <c r="H197" t="str">
        <f>TEXT(calls[[#This Row],[Date of Call]],"DDDD")</f>
        <v>Friday</v>
      </c>
      <c r="I197">
        <f>ROUND(calls[[#This Row],[Satisfaction Rating]],0)</f>
        <v>5</v>
      </c>
      <c r="N197" t="str" cm="1">
        <f t="array" ref="N197">_xlfn.IFS(_xlfn.SINGLE(calls[Duration])&lt;30,"UNDER 30 MINS",_xlfn.SINGLE(calls[Duration])&lt;60,"30 T0 60 MINS",_xlfn.SINGLE(calls[Duration])&lt;120,"1 TO 2 HRS",TRUE,"ABOVE 2 HRS")</f>
        <v>1 TO 2 HRS</v>
      </c>
    </row>
    <row r="198" spans="1:14" x14ac:dyDescent="0.3">
      <c r="A198" t="s">
        <v>232</v>
      </c>
      <c r="B198" t="s">
        <v>22</v>
      </c>
      <c r="C198">
        <v>105</v>
      </c>
      <c r="D198" t="s">
        <v>23</v>
      </c>
      <c r="E198" s="1">
        <v>44995</v>
      </c>
      <c r="F198">
        <v>96</v>
      </c>
      <c r="G198">
        <v>5</v>
      </c>
      <c r="H198" t="str">
        <f>TEXT(calls[[#This Row],[Date of Call]],"DDDD")</f>
        <v>Friday</v>
      </c>
      <c r="I198">
        <f>ROUND(calls[[#This Row],[Satisfaction Rating]],0)</f>
        <v>5</v>
      </c>
      <c r="N198" t="str" cm="1">
        <f t="array" ref="N198">_xlfn.IFS(_xlfn.SINGLE(calls[Duration])&lt;30,"UNDER 30 MINS",_xlfn.SINGLE(calls[Duration])&lt;60,"30 T0 60 MINS",_xlfn.SINGLE(calls[Duration])&lt;120,"1 TO 2 HRS",TRUE,"ABOVE 2 HRS")</f>
        <v>1 TO 2 HRS</v>
      </c>
    </row>
    <row r="199" spans="1:14" x14ac:dyDescent="0.3">
      <c r="A199" t="s">
        <v>233</v>
      </c>
      <c r="B199" t="s">
        <v>33</v>
      </c>
      <c r="C199">
        <v>71</v>
      </c>
      <c r="D199" t="s">
        <v>36</v>
      </c>
      <c r="E199" s="1">
        <v>44995</v>
      </c>
      <c r="F199">
        <v>105</v>
      </c>
      <c r="G199">
        <v>4</v>
      </c>
      <c r="H199" t="str">
        <f>TEXT(calls[[#This Row],[Date of Call]],"DDDD")</f>
        <v>Friday</v>
      </c>
      <c r="I199">
        <f>ROUND(calls[[#This Row],[Satisfaction Rating]],0)</f>
        <v>4</v>
      </c>
      <c r="N199" t="str" cm="1">
        <f t="array" ref="N199">_xlfn.IFS(_xlfn.SINGLE(calls[Duration])&lt;30,"UNDER 30 MINS",_xlfn.SINGLE(calls[Duration])&lt;60,"30 T0 60 MINS",_xlfn.SINGLE(calls[Duration])&lt;120,"1 TO 2 HRS",TRUE,"ABOVE 2 HRS")</f>
        <v>1 TO 2 HRS</v>
      </c>
    </row>
    <row r="200" spans="1:14" x14ac:dyDescent="0.3">
      <c r="A200" t="s">
        <v>234</v>
      </c>
      <c r="B200" t="s">
        <v>18</v>
      </c>
      <c r="C200">
        <v>100</v>
      </c>
      <c r="D200" t="s">
        <v>36</v>
      </c>
      <c r="E200" s="1">
        <v>44996</v>
      </c>
      <c r="F200">
        <v>44</v>
      </c>
      <c r="G200">
        <v>3.6</v>
      </c>
      <c r="H200" t="str">
        <f>TEXT(calls[[#This Row],[Date of Call]],"DDDD")</f>
        <v>Saturday</v>
      </c>
      <c r="I200">
        <f>ROUND(calls[[#This Row],[Satisfaction Rating]],0)</f>
        <v>4</v>
      </c>
      <c r="N200" t="str" cm="1">
        <f t="array" ref="N200">_xlfn.IFS(_xlfn.SINGLE(calls[Duration])&lt;30,"UNDER 30 MINS",_xlfn.SINGLE(calls[Duration])&lt;60,"30 T0 60 MINS",_xlfn.SINGLE(calls[Duration])&lt;120,"1 TO 2 HRS",TRUE,"ABOVE 2 HRS")</f>
        <v>1 TO 2 HRS</v>
      </c>
    </row>
    <row r="201" spans="1:14" x14ac:dyDescent="0.3">
      <c r="A201" t="s">
        <v>235</v>
      </c>
      <c r="B201" t="s">
        <v>12</v>
      </c>
      <c r="C201">
        <v>93</v>
      </c>
      <c r="D201" t="s">
        <v>29</v>
      </c>
      <c r="E201" s="1">
        <v>44996</v>
      </c>
      <c r="F201">
        <v>132</v>
      </c>
      <c r="G201">
        <v>3.7</v>
      </c>
      <c r="H201" t="str">
        <f>TEXT(calls[[#This Row],[Date of Call]],"DDDD")</f>
        <v>Saturday</v>
      </c>
      <c r="I201">
        <f>ROUND(calls[[#This Row],[Satisfaction Rating]],0)</f>
        <v>4</v>
      </c>
      <c r="N201" t="str" cm="1">
        <f t="array" ref="N201">_xlfn.IFS(_xlfn.SINGLE(calls[Duration])&lt;30,"UNDER 30 MINS",_xlfn.SINGLE(calls[Duration])&lt;60,"30 T0 60 MINS",_xlfn.SINGLE(calls[Duration])&lt;120,"1 TO 2 HRS",TRUE,"ABOVE 2 HRS")</f>
        <v>1 TO 2 HRS</v>
      </c>
    </row>
    <row r="202" spans="1:14" x14ac:dyDescent="0.3">
      <c r="A202" t="s">
        <v>236</v>
      </c>
      <c r="B202" t="s">
        <v>22</v>
      </c>
      <c r="C202">
        <v>84</v>
      </c>
      <c r="D202" t="s">
        <v>13</v>
      </c>
      <c r="E202" s="1">
        <v>44996</v>
      </c>
      <c r="F202">
        <v>54</v>
      </c>
      <c r="G202">
        <v>4.2</v>
      </c>
      <c r="H202" t="str">
        <f>TEXT(calls[[#This Row],[Date of Call]],"DDDD")</f>
        <v>Saturday</v>
      </c>
      <c r="I202">
        <f>ROUND(calls[[#This Row],[Satisfaction Rating]],0)</f>
        <v>4</v>
      </c>
      <c r="N202" t="str" cm="1">
        <f t="array" ref="N202">_xlfn.IFS(_xlfn.SINGLE(calls[Duration])&lt;30,"UNDER 30 MINS",_xlfn.SINGLE(calls[Duration])&lt;60,"30 T0 60 MINS",_xlfn.SINGLE(calls[Duration])&lt;120,"1 TO 2 HRS",TRUE,"ABOVE 2 HRS")</f>
        <v>1 TO 2 HRS</v>
      </c>
    </row>
    <row r="203" spans="1:14" x14ac:dyDescent="0.3">
      <c r="A203" t="s">
        <v>237</v>
      </c>
      <c r="B203" t="s">
        <v>14</v>
      </c>
      <c r="C203">
        <v>56</v>
      </c>
      <c r="D203" t="s">
        <v>42</v>
      </c>
      <c r="E203" s="1">
        <v>44996</v>
      </c>
      <c r="F203">
        <v>129</v>
      </c>
      <c r="G203">
        <v>2.1</v>
      </c>
      <c r="H203" t="str">
        <f>TEXT(calls[[#This Row],[Date of Call]],"DDDD")</f>
        <v>Saturday</v>
      </c>
      <c r="I203">
        <f>ROUND(calls[[#This Row],[Satisfaction Rating]],0)</f>
        <v>2</v>
      </c>
      <c r="N203" t="str" cm="1">
        <f t="array" ref="N203">_xlfn.IFS(_xlfn.SINGLE(calls[Duration])&lt;30,"UNDER 30 MINS",_xlfn.SINGLE(calls[Duration])&lt;60,"30 T0 60 MINS",_xlfn.SINGLE(calls[Duration])&lt;120,"1 TO 2 HRS",TRUE,"ABOVE 2 HRS")</f>
        <v>30 T0 60 MINS</v>
      </c>
    </row>
    <row r="204" spans="1:14" x14ac:dyDescent="0.3">
      <c r="A204" t="s">
        <v>238</v>
      </c>
      <c r="B204" t="s">
        <v>14</v>
      </c>
      <c r="C204">
        <v>63</v>
      </c>
      <c r="D204" t="s">
        <v>36</v>
      </c>
      <c r="E204" s="1">
        <v>44996</v>
      </c>
      <c r="F204">
        <v>42</v>
      </c>
      <c r="G204">
        <v>4</v>
      </c>
      <c r="H204" t="str">
        <f>TEXT(calls[[#This Row],[Date of Call]],"DDDD")</f>
        <v>Saturday</v>
      </c>
      <c r="I204">
        <f>ROUND(calls[[#This Row],[Satisfaction Rating]],0)</f>
        <v>4</v>
      </c>
      <c r="N204" t="str" cm="1">
        <f t="array" ref="N204">_xlfn.IFS(_xlfn.SINGLE(calls[Duration])&lt;30,"UNDER 30 MINS",_xlfn.SINGLE(calls[Duration])&lt;60,"30 T0 60 MINS",_xlfn.SINGLE(calls[Duration])&lt;120,"1 TO 2 HRS",TRUE,"ABOVE 2 HRS")</f>
        <v>1 TO 2 HRS</v>
      </c>
    </row>
    <row r="205" spans="1:14" x14ac:dyDescent="0.3">
      <c r="A205" t="s">
        <v>239</v>
      </c>
      <c r="B205" t="s">
        <v>39</v>
      </c>
      <c r="C205">
        <v>83</v>
      </c>
      <c r="D205" t="s">
        <v>36</v>
      </c>
      <c r="E205" s="1">
        <v>44996</v>
      </c>
      <c r="F205">
        <v>42</v>
      </c>
      <c r="G205">
        <v>4.2</v>
      </c>
      <c r="H205" t="str">
        <f>TEXT(calls[[#This Row],[Date of Call]],"DDDD")</f>
        <v>Saturday</v>
      </c>
      <c r="I205">
        <f>ROUND(calls[[#This Row],[Satisfaction Rating]],0)</f>
        <v>4</v>
      </c>
      <c r="N205" t="str" cm="1">
        <f t="array" ref="N205">_xlfn.IFS(_xlfn.SINGLE(calls[Duration])&lt;30,"UNDER 30 MINS",_xlfn.SINGLE(calls[Duration])&lt;60,"30 T0 60 MINS",_xlfn.SINGLE(calls[Duration])&lt;120,"1 TO 2 HRS",TRUE,"ABOVE 2 HRS")</f>
        <v>1 TO 2 HRS</v>
      </c>
    </row>
    <row r="206" spans="1:14" x14ac:dyDescent="0.3">
      <c r="A206" t="s">
        <v>240</v>
      </c>
      <c r="B206" t="s">
        <v>45</v>
      </c>
      <c r="C206">
        <v>134</v>
      </c>
      <c r="D206" t="s">
        <v>13</v>
      </c>
      <c r="E206" s="1">
        <v>44996</v>
      </c>
      <c r="F206">
        <v>180</v>
      </c>
      <c r="G206">
        <v>3.1</v>
      </c>
      <c r="H206" t="str">
        <f>TEXT(calls[[#This Row],[Date of Call]],"DDDD")</f>
        <v>Saturday</v>
      </c>
      <c r="I206">
        <f>ROUND(calls[[#This Row],[Satisfaction Rating]],0)</f>
        <v>3</v>
      </c>
      <c r="N206" t="str" cm="1">
        <f t="array" ref="N206">_xlfn.IFS(_xlfn.SINGLE(calls[Duration])&lt;30,"UNDER 30 MINS",_xlfn.SINGLE(calls[Duration])&lt;60,"30 T0 60 MINS",_xlfn.SINGLE(calls[Duration])&lt;120,"1 TO 2 HRS",TRUE,"ABOVE 2 HRS")</f>
        <v>ABOVE 2 HRS</v>
      </c>
    </row>
    <row r="207" spans="1:14" x14ac:dyDescent="0.3">
      <c r="A207" t="s">
        <v>241</v>
      </c>
      <c r="B207" t="s">
        <v>28</v>
      </c>
      <c r="C207">
        <v>73</v>
      </c>
      <c r="D207" t="s">
        <v>36</v>
      </c>
      <c r="E207" s="1">
        <v>44997</v>
      </c>
      <c r="F207">
        <v>34</v>
      </c>
      <c r="G207">
        <v>4.8</v>
      </c>
      <c r="H207" t="str">
        <f>TEXT(calls[[#This Row],[Date of Call]],"DDDD")</f>
        <v>Sunday</v>
      </c>
      <c r="I207">
        <f>ROUND(calls[[#This Row],[Satisfaction Rating]],0)</f>
        <v>5</v>
      </c>
      <c r="N207" t="str" cm="1">
        <f t="array" ref="N207">_xlfn.IFS(_xlfn.SINGLE(calls[Duration])&lt;30,"UNDER 30 MINS",_xlfn.SINGLE(calls[Duration])&lt;60,"30 T0 60 MINS",_xlfn.SINGLE(calls[Duration])&lt;120,"1 TO 2 HRS",TRUE,"ABOVE 2 HRS")</f>
        <v>1 TO 2 HRS</v>
      </c>
    </row>
    <row r="208" spans="1:14" x14ac:dyDescent="0.3">
      <c r="A208" t="s">
        <v>242</v>
      </c>
      <c r="B208" t="s">
        <v>37</v>
      </c>
      <c r="C208">
        <v>6</v>
      </c>
      <c r="D208" t="s">
        <v>42</v>
      </c>
      <c r="E208" s="1">
        <v>44997</v>
      </c>
      <c r="F208">
        <v>29</v>
      </c>
      <c r="G208">
        <v>4.7</v>
      </c>
      <c r="H208" t="str">
        <f>TEXT(calls[[#This Row],[Date of Call]],"DDDD")</f>
        <v>Sunday</v>
      </c>
      <c r="I208">
        <f>ROUND(calls[[#This Row],[Satisfaction Rating]],0)</f>
        <v>5</v>
      </c>
      <c r="N208" t="str" cm="1">
        <f t="array" ref="N208">_xlfn.IFS(_xlfn.SINGLE(calls[Duration])&lt;30,"UNDER 30 MINS",_xlfn.SINGLE(calls[Duration])&lt;60,"30 T0 60 MINS",_xlfn.SINGLE(calls[Duration])&lt;120,"1 TO 2 HRS",TRUE,"ABOVE 2 HRS")</f>
        <v>UNDER 30 MINS</v>
      </c>
    </row>
    <row r="209" spans="1:14" x14ac:dyDescent="0.3">
      <c r="A209" t="s">
        <v>243</v>
      </c>
      <c r="B209" t="s">
        <v>46</v>
      </c>
      <c r="C209">
        <v>46</v>
      </c>
      <c r="D209" t="s">
        <v>23</v>
      </c>
      <c r="E209" s="1">
        <v>44997</v>
      </c>
      <c r="F209">
        <v>165</v>
      </c>
      <c r="G209">
        <v>3.3</v>
      </c>
      <c r="H209" t="str">
        <f>TEXT(calls[[#This Row],[Date of Call]],"DDDD")</f>
        <v>Sunday</v>
      </c>
      <c r="I209">
        <f>ROUND(calls[[#This Row],[Satisfaction Rating]],0)</f>
        <v>3</v>
      </c>
      <c r="N209" t="str" cm="1">
        <f t="array" ref="N209">_xlfn.IFS(_xlfn.SINGLE(calls[Duration])&lt;30,"UNDER 30 MINS",_xlfn.SINGLE(calls[Duration])&lt;60,"30 T0 60 MINS",_xlfn.SINGLE(calls[Duration])&lt;120,"1 TO 2 HRS",TRUE,"ABOVE 2 HRS")</f>
        <v>30 T0 60 MINS</v>
      </c>
    </row>
    <row r="210" spans="1:14" x14ac:dyDescent="0.3">
      <c r="A210" t="s">
        <v>244</v>
      </c>
      <c r="B210" t="s">
        <v>37</v>
      </c>
      <c r="C210">
        <v>121</v>
      </c>
      <c r="D210" t="s">
        <v>36</v>
      </c>
      <c r="E210" s="1">
        <v>44998</v>
      </c>
      <c r="F210">
        <v>32</v>
      </c>
      <c r="G210">
        <v>3.7</v>
      </c>
      <c r="H210" t="str">
        <f>TEXT(calls[[#This Row],[Date of Call]],"DDDD")</f>
        <v>Monday</v>
      </c>
      <c r="I210">
        <f>ROUND(calls[[#This Row],[Satisfaction Rating]],0)</f>
        <v>4</v>
      </c>
      <c r="N210" t="str" cm="1">
        <f t="array" ref="N210">_xlfn.IFS(_xlfn.SINGLE(calls[Duration])&lt;30,"UNDER 30 MINS",_xlfn.SINGLE(calls[Duration])&lt;60,"30 T0 60 MINS",_xlfn.SINGLE(calls[Duration])&lt;120,"1 TO 2 HRS",TRUE,"ABOVE 2 HRS")</f>
        <v>ABOVE 2 HRS</v>
      </c>
    </row>
    <row r="211" spans="1:14" x14ac:dyDescent="0.3">
      <c r="A211" t="s">
        <v>245</v>
      </c>
      <c r="B211" t="s">
        <v>14</v>
      </c>
      <c r="C211">
        <v>61</v>
      </c>
      <c r="D211" t="s">
        <v>29</v>
      </c>
      <c r="E211" s="1">
        <v>44998</v>
      </c>
      <c r="F211">
        <v>160</v>
      </c>
      <c r="G211">
        <v>4.9000000000000004</v>
      </c>
      <c r="H211" t="str">
        <f>TEXT(calls[[#This Row],[Date of Call]],"DDDD")</f>
        <v>Monday</v>
      </c>
      <c r="I211">
        <f>ROUND(calls[[#This Row],[Satisfaction Rating]],0)</f>
        <v>5</v>
      </c>
      <c r="N211" t="str" cm="1">
        <f t="array" ref="N211">_xlfn.IFS(_xlfn.SINGLE(calls[Duration])&lt;30,"UNDER 30 MINS",_xlfn.SINGLE(calls[Duration])&lt;60,"30 T0 60 MINS",_xlfn.SINGLE(calls[Duration])&lt;120,"1 TO 2 HRS",TRUE,"ABOVE 2 HRS")</f>
        <v>1 TO 2 HRS</v>
      </c>
    </row>
    <row r="212" spans="1:14" x14ac:dyDescent="0.3">
      <c r="A212" t="s">
        <v>246</v>
      </c>
      <c r="B212" t="s">
        <v>45</v>
      </c>
      <c r="C212">
        <v>144</v>
      </c>
      <c r="D212" t="s">
        <v>13</v>
      </c>
      <c r="E212" s="1">
        <v>44998</v>
      </c>
      <c r="F212">
        <v>140</v>
      </c>
      <c r="G212">
        <v>3.5</v>
      </c>
      <c r="H212" t="str">
        <f>TEXT(calls[[#This Row],[Date of Call]],"DDDD")</f>
        <v>Monday</v>
      </c>
      <c r="I212">
        <f>ROUND(calls[[#This Row],[Satisfaction Rating]],0)</f>
        <v>4</v>
      </c>
      <c r="N212" t="str" cm="1">
        <f t="array" ref="N212">_xlfn.IFS(_xlfn.SINGLE(calls[Duration])&lt;30,"UNDER 30 MINS",_xlfn.SINGLE(calls[Duration])&lt;60,"30 T0 60 MINS",_xlfn.SINGLE(calls[Duration])&lt;120,"1 TO 2 HRS",TRUE,"ABOVE 2 HRS")</f>
        <v>ABOVE 2 HRS</v>
      </c>
    </row>
    <row r="213" spans="1:14" x14ac:dyDescent="0.3">
      <c r="A213" t="s">
        <v>247</v>
      </c>
      <c r="B213" t="s">
        <v>46</v>
      </c>
      <c r="C213">
        <v>145</v>
      </c>
      <c r="D213" t="s">
        <v>13</v>
      </c>
      <c r="E213" s="1">
        <v>44998</v>
      </c>
      <c r="F213">
        <v>136</v>
      </c>
      <c r="G213">
        <v>4.4000000000000004</v>
      </c>
      <c r="H213" t="str">
        <f>TEXT(calls[[#This Row],[Date of Call]],"DDDD")</f>
        <v>Monday</v>
      </c>
      <c r="I213">
        <f>ROUND(calls[[#This Row],[Satisfaction Rating]],0)</f>
        <v>4</v>
      </c>
      <c r="N213" t="str" cm="1">
        <f t="array" ref="N213">_xlfn.IFS(_xlfn.SINGLE(calls[Duration])&lt;30,"UNDER 30 MINS",_xlfn.SINGLE(calls[Duration])&lt;60,"30 T0 60 MINS",_xlfn.SINGLE(calls[Duration])&lt;120,"1 TO 2 HRS",TRUE,"ABOVE 2 HRS")</f>
        <v>ABOVE 2 HRS</v>
      </c>
    </row>
    <row r="214" spans="1:14" x14ac:dyDescent="0.3">
      <c r="A214" t="s">
        <v>248</v>
      </c>
      <c r="B214" t="s">
        <v>22</v>
      </c>
      <c r="C214">
        <v>85</v>
      </c>
      <c r="D214" t="s">
        <v>42</v>
      </c>
      <c r="E214" s="1">
        <v>44998</v>
      </c>
      <c r="F214">
        <v>66</v>
      </c>
      <c r="G214">
        <v>2.8</v>
      </c>
      <c r="H214" t="str">
        <f>TEXT(calls[[#This Row],[Date of Call]],"DDDD")</f>
        <v>Monday</v>
      </c>
      <c r="I214">
        <f>ROUND(calls[[#This Row],[Satisfaction Rating]],0)</f>
        <v>3</v>
      </c>
      <c r="N214" t="str" cm="1">
        <f t="array" ref="N214">_xlfn.IFS(_xlfn.SINGLE(calls[Duration])&lt;30,"UNDER 30 MINS",_xlfn.SINGLE(calls[Duration])&lt;60,"30 T0 60 MINS",_xlfn.SINGLE(calls[Duration])&lt;120,"1 TO 2 HRS",TRUE,"ABOVE 2 HRS")</f>
        <v>1 TO 2 HRS</v>
      </c>
    </row>
    <row r="215" spans="1:14" x14ac:dyDescent="0.3">
      <c r="A215" t="s">
        <v>249</v>
      </c>
      <c r="B215" t="s">
        <v>46</v>
      </c>
      <c r="C215">
        <v>13</v>
      </c>
      <c r="D215" t="s">
        <v>29</v>
      </c>
      <c r="E215" s="1">
        <v>44999</v>
      </c>
      <c r="F215">
        <v>63</v>
      </c>
      <c r="G215">
        <v>4.0999999999999996</v>
      </c>
      <c r="H215" t="str">
        <f>TEXT(calls[[#This Row],[Date of Call]],"DDDD")</f>
        <v>Tuesday</v>
      </c>
      <c r="I215">
        <f>ROUND(calls[[#This Row],[Satisfaction Rating]],0)</f>
        <v>4</v>
      </c>
      <c r="N215" t="str" cm="1">
        <f t="array" ref="N215">_xlfn.IFS(_xlfn.SINGLE(calls[Duration])&lt;30,"UNDER 30 MINS",_xlfn.SINGLE(calls[Duration])&lt;60,"30 T0 60 MINS",_xlfn.SINGLE(calls[Duration])&lt;120,"1 TO 2 HRS",TRUE,"ABOVE 2 HRS")</f>
        <v>UNDER 30 MINS</v>
      </c>
    </row>
    <row r="216" spans="1:14" x14ac:dyDescent="0.3">
      <c r="A216" t="s">
        <v>250</v>
      </c>
      <c r="B216" t="s">
        <v>12</v>
      </c>
      <c r="C216">
        <v>142</v>
      </c>
      <c r="D216" t="s">
        <v>36</v>
      </c>
      <c r="E216" s="1">
        <v>44999</v>
      </c>
      <c r="F216">
        <v>44</v>
      </c>
      <c r="G216">
        <v>3.5</v>
      </c>
      <c r="H216" t="str">
        <f>TEXT(calls[[#This Row],[Date of Call]],"DDDD")</f>
        <v>Tuesday</v>
      </c>
      <c r="I216">
        <f>ROUND(calls[[#This Row],[Satisfaction Rating]],0)</f>
        <v>4</v>
      </c>
      <c r="N216" t="str" cm="1">
        <f t="array" ref="N216">_xlfn.IFS(_xlfn.SINGLE(calls[Duration])&lt;30,"UNDER 30 MINS",_xlfn.SINGLE(calls[Duration])&lt;60,"30 T0 60 MINS",_xlfn.SINGLE(calls[Duration])&lt;120,"1 TO 2 HRS",TRUE,"ABOVE 2 HRS")</f>
        <v>ABOVE 2 HRS</v>
      </c>
    </row>
    <row r="217" spans="1:14" x14ac:dyDescent="0.3">
      <c r="A217" t="s">
        <v>251</v>
      </c>
      <c r="B217" t="s">
        <v>45</v>
      </c>
      <c r="C217">
        <v>28</v>
      </c>
      <c r="D217" t="s">
        <v>23</v>
      </c>
      <c r="E217" s="1">
        <v>44999</v>
      </c>
      <c r="F217">
        <v>78</v>
      </c>
      <c r="G217">
        <v>3.8</v>
      </c>
      <c r="H217" t="str">
        <f>TEXT(calls[[#This Row],[Date of Call]],"DDDD")</f>
        <v>Tuesday</v>
      </c>
      <c r="I217">
        <f>ROUND(calls[[#This Row],[Satisfaction Rating]],0)</f>
        <v>4</v>
      </c>
      <c r="N217" t="str" cm="1">
        <f t="array" ref="N217">_xlfn.IFS(_xlfn.SINGLE(calls[Duration])&lt;30,"UNDER 30 MINS",_xlfn.SINGLE(calls[Duration])&lt;60,"30 T0 60 MINS",_xlfn.SINGLE(calls[Duration])&lt;120,"1 TO 2 HRS",TRUE,"ABOVE 2 HRS")</f>
        <v>UNDER 30 MINS</v>
      </c>
    </row>
    <row r="218" spans="1:14" x14ac:dyDescent="0.3">
      <c r="A218" t="s">
        <v>252</v>
      </c>
      <c r="B218" t="s">
        <v>45</v>
      </c>
      <c r="C218">
        <v>119</v>
      </c>
      <c r="D218" t="s">
        <v>36</v>
      </c>
      <c r="E218" s="1">
        <v>44999</v>
      </c>
      <c r="F218">
        <v>20</v>
      </c>
      <c r="G218">
        <v>3.9</v>
      </c>
      <c r="H218" t="str">
        <f>TEXT(calls[[#This Row],[Date of Call]],"DDDD")</f>
        <v>Tuesday</v>
      </c>
      <c r="I218">
        <f>ROUND(calls[[#This Row],[Satisfaction Rating]],0)</f>
        <v>4</v>
      </c>
      <c r="N218" t="str" cm="1">
        <f t="array" ref="N218">_xlfn.IFS(_xlfn.SINGLE(calls[Duration])&lt;30,"UNDER 30 MINS",_xlfn.SINGLE(calls[Duration])&lt;60,"30 T0 60 MINS",_xlfn.SINGLE(calls[Duration])&lt;120,"1 TO 2 HRS",TRUE,"ABOVE 2 HRS")</f>
        <v>1 TO 2 HRS</v>
      </c>
    </row>
    <row r="219" spans="1:14" x14ac:dyDescent="0.3">
      <c r="A219" t="s">
        <v>253</v>
      </c>
      <c r="B219" t="s">
        <v>37</v>
      </c>
      <c r="C219">
        <v>65</v>
      </c>
      <c r="D219" t="s">
        <v>42</v>
      </c>
      <c r="E219" s="1">
        <v>44999</v>
      </c>
      <c r="F219">
        <v>84</v>
      </c>
      <c r="G219">
        <v>2.5</v>
      </c>
      <c r="H219" t="str">
        <f>TEXT(calls[[#This Row],[Date of Call]],"DDDD")</f>
        <v>Tuesday</v>
      </c>
      <c r="I219">
        <f>ROUND(calls[[#This Row],[Satisfaction Rating]],0)</f>
        <v>3</v>
      </c>
      <c r="N219" t="str" cm="1">
        <f t="array" ref="N219">_xlfn.IFS(_xlfn.SINGLE(calls[Duration])&lt;30,"UNDER 30 MINS",_xlfn.SINGLE(calls[Duration])&lt;60,"30 T0 60 MINS",_xlfn.SINGLE(calls[Duration])&lt;120,"1 TO 2 HRS",TRUE,"ABOVE 2 HRS")</f>
        <v>1 TO 2 HRS</v>
      </c>
    </row>
    <row r="220" spans="1:14" x14ac:dyDescent="0.3">
      <c r="A220" t="s">
        <v>254</v>
      </c>
      <c r="B220" t="s">
        <v>19</v>
      </c>
      <c r="C220">
        <v>68</v>
      </c>
      <c r="D220" t="s">
        <v>42</v>
      </c>
      <c r="E220" s="1">
        <v>44999</v>
      </c>
      <c r="F220">
        <v>32</v>
      </c>
      <c r="G220">
        <v>4.9000000000000004</v>
      </c>
      <c r="H220" t="str">
        <f>TEXT(calls[[#This Row],[Date of Call]],"DDDD")</f>
        <v>Tuesday</v>
      </c>
      <c r="I220">
        <f>ROUND(calls[[#This Row],[Satisfaction Rating]],0)</f>
        <v>5</v>
      </c>
      <c r="N220" t="str" cm="1">
        <f t="array" ref="N220">_xlfn.IFS(_xlfn.SINGLE(calls[Duration])&lt;30,"UNDER 30 MINS",_xlfn.SINGLE(calls[Duration])&lt;60,"30 T0 60 MINS",_xlfn.SINGLE(calls[Duration])&lt;120,"1 TO 2 HRS",TRUE,"ABOVE 2 HRS")</f>
        <v>1 TO 2 HRS</v>
      </c>
    </row>
    <row r="221" spans="1:14" x14ac:dyDescent="0.3">
      <c r="A221" t="s">
        <v>255</v>
      </c>
      <c r="B221" t="s">
        <v>39</v>
      </c>
      <c r="C221">
        <v>72</v>
      </c>
      <c r="D221" t="s">
        <v>23</v>
      </c>
      <c r="E221" s="1">
        <v>44999</v>
      </c>
      <c r="F221">
        <v>132</v>
      </c>
      <c r="G221">
        <v>3.4</v>
      </c>
      <c r="H221" t="str">
        <f>TEXT(calls[[#This Row],[Date of Call]],"DDDD")</f>
        <v>Tuesday</v>
      </c>
      <c r="I221">
        <f>ROUND(calls[[#This Row],[Satisfaction Rating]],0)</f>
        <v>3</v>
      </c>
      <c r="N221" t="str" cm="1">
        <f t="array" ref="N221">_xlfn.IFS(_xlfn.SINGLE(calls[Duration])&lt;30,"UNDER 30 MINS",_xlfn.SINGLE(calls[Duration])&lt;60,"30 T0 60 MINS",_xlfn.SINGLE(calls[Duration])&lt;120,"1 TO 2 HRS",TRUE,"ABOVE 2 HRS")</f>
        <v>1 TO 2 HRS</v>
      </c>
    </row>
    <row r="222" spans="1:14" x14ac:dyDescent="0.3">
      <c r="A222" t="s">
        <v>256</v>
      </c>
      <c r="B222" t="s">
        <v>39</v>
      </c>
      <c r="C222">
        <v>63</v>
      </c>
      <c r="D222" t="s">
        <v>13</v>
      </c>
      <c r="E222" s="1">
        <v>44999</v>
      </c>
      <c r="F222">
        <v>105</v>
      </c>
      <c r="G222">
        <v>3.3</v>
      </c>
      <c r="H222" t="str">
        <f>TEXT(calls[[#This Row],[Date of Call]],"DDDD")</f>
        <v>Tuesday</v>
      </c>
      <c r="I222">
        <f>ROUND(calls[[#This Row],[Satisfaction Rating]],0)</f>
        <v>3</v>
      </c>
      <c r="N222" t="str" cm="1">
        <f t="array" ref="N222">_xlfn.IFS(_xlfn.SINGLE(calls[Duration])&lt;30,"UNDER 30 MINS",_xlfn.SINGLE(calls[Duration])&lt;60,"30 T0 60 MINS",_xlfn.SINGLE(calls[Duration])&lt;120,"1 TO 2 HRS",TRUE,"ABOVE 2 HRS")</f>
        <v>1 TO 2 HRS</v>
      </c>
    </row>
    <row r="223" spans="1:14" x14ac:dyDescent="0.3">
      <c r="A223" t="s">
        <v>257</v>
      </c>
      <c r="B223" t="s">
        <v>18</v>
      </c>
      <c r="C223">
        <v>139</v>
      </c>
      <c r="D223" t="s">
        <v>36</v>
      </c>
      <c r="E223" s="1">
        <v>45000</v>
      </c>
      <c r="F223">
        <v>48</v>
      </c>
      <c r="G223">
        <v>4.7</v>
      </c>
      <c r="H223" t="str">
        <f>TEXT(calls[[#This Row],[Date of Call]],"DDDD")</f>
        <v>Wednesday</v>
      </c>
      <c r="I223">
        <f>ROUND(calls[[#This Row],[Satisfaction Rating]],0)</f>
        <v>5</v>
      </c>
      <c r="N223" t="str" cm="1">
        <f t="array" ref="N223">_xlfn.IFS(_xlfn.SINGLE(calls[Duration])&lt;30,"UNDER 30 MINS",_xlfn.SINGLE(calls[Duration])&lt;60,"30 T0 60 MINS",_xlfn.SINGLE(calls[Duration])&lt;120,"1 TO 2 HRS",TRUE,"ABOVE 2 HRS")</f>
        <v>ABOVE 2 HRS</v>
      </c>
    </row>
    <row r="224" spans="1:14" x14ac:dyDescent="0.3">
      <c r="A224" t="s">
        <v>258</v>
      </c>
      <c r="B224" t="s">
        <v>45</v>
      </c>
      <c r="C224">
        <v>59</v>
      </c>
      <c r="D224" t="s">
        <v>36</v>
      </c>
      <c r="E224" s="1">
        <v>45000</v>
      </c>
      <c r="F224">
        <v>64</v>
      </c>
      <c r="G224">
        <v>4</v>
      </c>
      <c r="H224" t="str">
        <f>TEXT(calls[[#This Row],[Date of Call]],"DDDD")</f>
        <v>Wednesday</v>
      </c>
      <c r="I224">
        <f>ROUND(calls[[#This Row],[Satisfaction Rating]],0)</f>
        <v>4</v>
      </c>
      <c r="N224" t="str" cm="1">
        <f t="array" ref="N224">_xlfn.IFS(_xlfn.SINGLE(calls[Duration])&lt;30,"UNDER 30 MINS",_xlfn.SINGLE(calls[Duration])&lt;60,"30 T0 60 MINS",_xlfn.SINGLE(calls[Duration])&lt;120,"1 TO 2 HRS",TRUE,"ABOVE 2 HRS")</f>
        <v>30 T0 60 MINS</v>
      </c>
    </row>
    <row r="225" spans="1:14" x14ac:dyDescent="0.3">
      <c r="A225" t="s">
        <v>259</v>
      </c>
      <c r="B225" t="s">
        <v>31</v>
      </c>
      <c r="C225">
        <v>138</v>
      </c>
      <c r="D225" t="s">
        <v>13</v>
      </c>
      <c r="E225" s="1">
        <v>45000</v>
      </c>
      <c r="F225">
        <v>44</v>
      </c>
      <c r="G225">
        <v>3.8</v>
      </c>
      <c r="H225" t="str">
        <f>TEXT(calls[[#This Row],[Date of Call]],"DDDD")</f>
        <v>Wednesday</v>
      </c>
      <c r="I225">
        <f>ROUND(calls[[#This Row],[Satisfaction Rating]],0)</f>
        <v>4</v>
      </c>
      <c r="N225" t="str" cm="1">
        <f t="array" ref="N225">_xlfn.IFS(_xlfn.SINGLE(calls[Duration])&lt;30,"UNDER 30 MINS",_xlfn.SINGLE(calls[Duration])&lt;60,"30 T0 60 MINS",_xlfn.SINGLE(calls[Duration])&lt;120,"1 TO 2 HRS",TRUE,"ABOVE 2 HRS")</f>
        <v>ABOVE 2 HRS</v>
      </c>
    </row>
    <row r="226" spans="1:14" x14ac:dyDescent="0.3">
      <c r="A226" t="s">
        <v>260</v>
      </c>
      <c r="B226" t="s">
        <v>18</v>
      </c>
      <c r="C226">
        <v>47</v>
      </c>
      <c r="D226" t="s">
        <v>23</v>
      </c>
      <c r="E226" s="1">
        <v>45000</v>
      </c>
      <c r="F226">
        <v>120</v>
      </c>
      <c r="G226">
        <v>3.1</v>
      </c>
      <c r="H226" t="str">
        <f>TEXT(calls[[#This Row],[Date of Call]],"DDDD")</f>
        <v>Wednesday</v>
      </c>
      <c r="I226">
        <f>ROUND(calls[[#This Row],[Satisfaction Rating]],0)</f>
        <v>3</v>
      </c>
      <c r="N226" t="str" cm="1">
        <f t="array" ref="N226">_xlfn.IFS(_xlfn.SINGLE(calls[Duration])&lt;30,"UNDER 30 MINS",_xlfn.SINGLE(calls[Duration])&lt;60,"30 T0 60 MINS",_xlfn.SINGLE(calls[Duration])&lt;120,"1 TO 2 HRS",TRUE,"ABOVE 2 HRS")</f>
        <v>30 T0 60 MINS</v>
      </c>
    </row>
    <row r="227" spans="1:14" x14ac:dyDescent="0.3">
      <c r="A227" t="s">
        <v>261</v>
      </c>
      <c r="B227" t="s">
        <v>31</v>
      </c>
      <c r="C227">
        <v>74</v>
      </c>
      <c r="D227" t="s">
        <v>23</v>
      </c>
      <c r="E227" s="1">
        <v>45000</v>
      </c>
      <c r="F227">
        <v>144</v>
      </c>
      <c r="G227">
        <v>4.8</v>
      </c>
      <c r="H227" t="str">
        <f>TEXT(calls[[#This Row],[Date of Call]],"DDDD")</f>
        <v>Wednesday</v>
      </c>
      <c r="I227">
        <f>ROUND(calls[[#This Row],[Satisfaction Rating]],0)</f>
        <v>5</v>
      </c>
      <c r="N227" t="str" cm="1">
        <f t="array" ref="N227">_xlfn.IFS(_xlfn.SINGLE(calls[Duration])&lt;30,"UNDER 30 MINS",_xlfn.SINGLE(calls[Duration])&lt;60,"30 T0 60 MINS",_xlfn.SINGLE(calls[Duration])&lt;120,"1 TO 2 HRS",TRUE,"ABOVE 2 HRS")</f>
        <v>1 TO 2 HRS</v>
      </c>
    </row>
    <row r="228" spans="1:14" x14ac:dyDescent="0.3">
      <c r="A228" t="s">
        <v>262</v>
      </c>
      <c r="B228" t="s">
        <v>39</v>
      </c>
      <c r="C228">
        <v>65</v>
      </c>
      <c r="D228" t="s">
        <v>23</v>
      </c>
      <c r="E228" s="1">
        <v>45000</v>
      </c>
      <c r="F228">
        <v>87</v>
      </c>
      <c r="G228">
        <v>2.7</v>
      </c>
      <c r="H228" t="str">
        <f>TEXT(calls[[#This Row],[Date of Call]],"DDDD")</f>
        <v>Wednesday</v>
      </c>
      <c r="I228">
        <f>ROUND(calls[[#This Row],[Satisfaction Rating]],0)</f>
        <v>3</v>
      </c>
      <c r="N228" t="str" cm="1">
        <f t="array" ref="N228">_xlfn.IFS(_xlfn.SINGLE(calls[Duration])&lt;30,"UNDER 30 MINS",_xlfn.SINGLE(calls[Duration])&lt;60,"30 T0 60 MINS",_xlfn.SINGLE(calls[Duration])&lt;120,"1 TO 2 HRS",TRUE,"ABOVE 2 HRS")</f>
        <v>1 TO 2 HRS</v>
      </c>
    </row>
    <row r="229" spans="1:14" x14ac:dyDescent="0.3">
      <c r="A229" t="s">
        <v>263</v>
      </c>
      <c r="B229" t="s">
        <v>28</v>
      </c>
      <c r="C229">
        <v>123</v>
      </c>
      <c r="D229" t="s">
        <v>42</v>
      </c>
      <c r="E229" s="1">
        <v>45000</v>
      </c>
      <c r="F229">
        <v>36</v>
      </c>
      <c r="G229">
        <v>3.6</v>
      </c>
      <c r="H229" t="str">
        <f>TEXT(calls[[#This Row],[Date of Call]],"DDDD")</f>
        <v>Wednesday</v>
      </c>
      <c r="I229">
        <f>ROUND(calls[[#This Row],[Satisfaction Rating]],0)</f>
        <v>4</v>
      </c>
      <c r="N229" t="str" cm="1">
        <f t="array" ref="N229">_xlfn.IFS(_xlfn.SINGLE(calls[Duration])&lt;30,"UNDER 30 MINS",_xlfn.SINGLE(calls[Duration])&lt;60,"30 T0 60 MINS",_xlfn.SINGLE(calls[Duration])&lt;120,"1 TO 2 HRS",TRUE,"ABOVE 2 HRS")</f>
        <v>ABOVE 2 HRS</v>
      </c>
    </row>
    <row r="230" spans="1:14" x14ac:dyDescent="0.3">
      <c r="A230" t="s">
        <v>264</v>
      </c>
      <c r="B230" t="s">
        <v>39</v>
      </c>
      <c r="C230">
        <v>90</v>
      </c>
      <c r="D230" t="s">
        <v>36</v>
      </c>
      <c r="E230" s="1">
        <v>45001</v>
      </c>
      <c r="F230">
        <v>72</v>
      </c>
      <c r="G230">
        <v>4.7</v>
      </c>
      <c r="H230" t="str">
        <f>TEXT(calls[[#This Row],[Date of Call]],"DDDD")</f>
        <v>Thursday</v>
      </c>
      <c r="I230">
        <f>ROUND(calls[[#This Row],[Satisfaction Rating]],0)</f>
        <v>5</v>
      </c>
      <c r="N230" t="str" cm="1">
        <f t="array" ref="N230">_xlfn.IFS(_xlfn.SINGLE(calls[Duration])&lt;30,"UNDER 30 MINS",_xlfn.SINGLE(calls[Duration])&lt;60,"30 T0 60 MINS",_xlfn.SINGLE(calls[Duration])&lt;120,"1 TO 2 HRS",TRUE,"ABOVE 2 HRS")</f>
        <v>1 TO 2 HRS</v>
      </c>
    </row>
    <row r="231" spans="1:14" x14ac:dyDescent="0.3">
      <c r="A231" t="s">
        <v>265</v>
      </c>
      <c r="B231" t="s">
        <v>14</v>
      </c>
      <c r="C231">
        <v>127</v>
      </c>
      <c r="D231" t="s">
        <v>13</v>
      </c>
      <c r="E231" s="1">
        <v>45001</v>
      </c>
      <c r="F231">
        <v>150</v>
      </c>
      <c r="G231">
        <v>4.4000000000000004</v>
      </c>
      <c r="H231" t="str">
        <f>TEXT(calls[[#This Row],[Date of Call]],"DDDD")</f>
        <v>Thursday</v>
      </c>
      <c r="I231">
        <f>ROUND(calls[[#This Row],[Satisfaction Rating]],0)</f>
        <v>4</v>
      </c>
      <c r="N231" t="str" cm="1">
        <f t="array" ref="N231">_xlfn.IFS(_xlfn.SINGLE(calls[Duration])&lt;30,"UNDER 30 MINS",_xlfn.SINGLE(calls[Duration])&lt;60,"30 T0 60 MINS",_xlfn.SINGLE(calls[Duration])&lt;120,"1 TO 2 HRS",TRUE,"ABOVE 2 HRS")</f>
        <v>ABOVE 2 HRS</v>
      </c>
    </row>
    <row r="232" spans="1:14" x14ac:dyDescent="0.3">
      <c r="A232" t="s">
        <v>266</v>
      </c>
      <c r="B232" t="s">
        <v>26</v>
      </c>
      <c r="C232">
        <v>60</v>
      </c>
      <c r="D232" t="s">
        <v>23</v>
      </c>
      <c r="E232" s="1">
        <v>45001</v>
      </c>
      <c r="F232">
        <v>68</v>
      </c>
      <c r="G232">
        <v>4.3</v>
      </c>
      <c r="H232" t="str">
        <f>TEXT(calls[[#This Row],[Date of Call]],"DDDD")</f>
        <v>Thursday</v>
      </c>
      <c r="I232">
        <f>ROUND(calls[[#This Row],[Satisfaction Rating]],0)</f>
        <v>4</v>
      </c>
      <c r="N232" t="str" cm="1">
        <f t="array" ref="N232">_xlfn.IFS(_xlfn.SINGLE(calls[Duration])&lt;30,"UNDER 30 MINS",_xlfn.SINGLE(calls[Duration])&lt;60,"30 T0 60 MINS",_xlfn.SINGLE(calls[Duration])&lt;120,"1 TO 2 HRS",TRUE,"ABOVE 2 HRS")</f>
        <v>1 TO 2 HRS</v>
      </c>
    </row>
    <row r="233" spans="1:14" x14ac:dyDescent="0.3">
      <c r="A233" t="s">
        <v>267</v>
      </c>
      <c r="B233" t="s">
        <v>18</v>
      </c>
      <c r="C233">
        <v>94</v>
      </c>
      <c r="D233" t="s">
        <v>13</v>
      </c>
      <c r="E233" s="1">
        <v>45001</v>
      </c>
      <c r="F233">
        <v>99</v>
      </c>
      <c r="G233">
        <v>4.9000000000000004</v>
      </c>
      <c r="H233" t="str">
        <f>TEXT(calls[[#This Row],[Date of Call]],"DDDD")</f>
        <v>Thursday</v>
      </c>
      <c r="I233">
        <f>ROUND(calls[[#This Row],[Satisfaction Rating]],0)</f>
        <v>5</v>
      </c>
      <c r="N233" t="str" cm="1">
        <f t="array" ref="N233">_xlfn.IFS(_xlfn.SINGLE(calls[Duration])&lt;30,"UNDER 30 MINS",_xlfn.SINGLE(calls[Duration])&lt;60,"30 T0 60 MINS",_xlfn.SINGLE(calls[Duration])&lt;120,"1 TO 2 HRS",TRUE,"ABOVE 2 HRS")</f>
        <v>1 TO 2 HRS</v>
      </c>
    </row>
    <row r="234" spans="1:14" x14ac:dyDescent="0.3">
      <c r="A234" t="s">
        <v>268</v>
      </c>
      <c r="B234" t="s">
        <v>28</v>
      </c>
      <c r="C234">
        <v>54</v>
      </c>
      <c r="D234" t="s">
        <v>23</v>
      </c>
      <c r="E234" s="1">
        <v>45001</v>
      </c>
      <c r="F234">
        <v>26</v>
      </c>
      <c r="G234">
        <v>4.8</v>
      </c>
      <c r="H234" t="str">
        <f>TEXT(calls[[#This Row],[Date of Call]],"DDDD")</f>
        <v>Thursday</v>
      </c>
      <c r="I234">
        <f>ROUND(calls[[#This Row],[Satisfaction Rating]],0)</f>
        <v>5</v>
      </c>
      <c r="N234" t="str" cm="1">
        <f t="array" ref="N234">_xlfn.IFS(_xlfn.SINGLE(calls[Duration])&lt;30,"UNDER 30 MINS",_xlfn.SINGLE(calls[Duration])&lt;60,"30 T0 60 MINS",_xlfn.SINGLE(calls[Duration])&lt;120,"1 TO 2 HRS",TRUE,"ABOVE 2 HRS")</f>
        <v>30 T0 60 MINS</v>
      </c>
    </row>
    <row r="235" spans="1:14" x14ac:dyDescent="0.3">
      <c r="A235" t="s">
        <v>269</v>
      </c>
      <c r="B235" t="s">
        <v>39</v>
      </c>
      <c r="C235">
        <v>104</v>
      </c>
      <c r="D235" t="s">
        <v>23</v>
      </c>
      <c r="E235" s="1">
        <v>45001</v>
      </c>
      <c r="F235">
        <v>88</v>
      </c>
      <c r="G235">
        <v>3.2</v>
      </c>
      <c r="H235" t="str">
        <f>TEXT(calls[[#This Row],[Date of Call]],"DDDD")</f>
        <v>Thursday</v>
      </c>
      <c r="I235">
        <f>ROUND(calls[[#This Row],[Satisfaction Rating]],0)</f>
        <v>3</v>
      </c>
      <c r="N235" t="str" cm="1">
        <f t="array" ref="N235">_xlfn.IFS(_xlfn.SINGLE(calls[Duration])&lt;30,"UNDER 30 MINS",_xlfn.SINGLE(calls[Duration])&lt;60,"30 T0 60 MINS",_xlfn.SINGLE(calls[Duration])&lt;120,"1 TO 2 HRS",TRUE,"ABOVE 2 HRS")</f>
        <v>1 TO 2 HRS</v>
      </c>
    </row>
    <row r="236" spans="1:14" x14ac:dyDescent="0.3">
      <c r="A236" t="s">
        <v>270</v>
      </c>
      <c r="B236" t="s">
        <v>33</v>
      </c>
      <c r="C236">
        <v>100</v>
      </c>
      <c r="D236" t="s">
        <v>23</v>
      </c>
      <c r="E236" s="1">
        <v>45001</v>
      </c>
      <c r="F236">
        <v>124</v>
      </c>
      <c r="G236">
        <v>3.4</v>
      </c>
      <c r="H236" t="str">
        <f>TEXT(calls[[#This Row],[Date of Call]],"DDDD")</f>
        <v>Thursday</v>
      </c>
      <c r="I236">
        <f>ROUND(calls[[#This Row],[Satisfaction Rating]],0)</f>
        <v>3</v>
      </c>
      <c r="N236" t="str" cm="1">
        <f t="array" ref="N236">_xlfn.IFS(_xlfn.SINGLE(calls[Duration])&lt;30,"UNDER 30 MINS",_xlfn.SINGLE(calls[Duration])&lt;60,"30 T0 60 MINS",_xlfn.SINGLE(calls[Duration])&lt;120,"1 TO 2 HRS",TRUE,"ABOVE 2 HRS")</f>
        <v>1 TO 2 HRS</v>
      </c>
    </row>
    <row r="237" spans="1:14" x14ac:dyDescent="0.3">
      <c r="A237" t="s">
        <v>271</v>
      </c>
      <c r="B237" t="s">
        <v>31</v>
      </c>
      <c r="C237">
        <v>84</v>
      </c>
      <c r="D237" t="s">
        <v>23</v>
      </c>
      <c r="E237" s="1">
        <v>45001</v>
      </c>
      <c r="F237">
        <v>72</v>
      </c>
      <c r="G237">
        <v>3.5</v>
      </c>
      <c r="H237" t="str">
        <f>TEXT(calls[[#This Row],[Date of Call]],"DDDD")</f>
        <v>Thursday</v>
      </c>
      <c r="I237">
        <f>ROUND(calls[[#This Row],[Satisfaction Rating]],0)</f>
        <v>4</v>
      </c>
      <c r="N237" t="str" cm="1">
        <f t="array" ref="N237">_xlfn.IFS(_xlfn.SINGLE(calls[Duration])&lt;30,"UNDER 30 MINS",_xlfn.SINGLE(calls[Duration])&lt;60,"30 T0 60 MINS",_xlfn.SINGLE(calls[Duration])&lt;120,"1 TO 2 HRS",TRUE,"ABOVE 2 HRS")</f>
        <v>1 TO 2 HRS</v>
      </c>
    </row>
    <row r="238" spans="1:14" x14ac:dyDescent="0.3">
      <c r="A238" t="s">
        <v>272</v>
      </c>
      <c r="B238" t="s">
        <v>12</v>
      </c>
      <c r="C238">
        <v>92</v>
      </c>
      <c r="D238" t="s">
        <v>29</v>
      </c>
      <c r="E238" s="1">
        <v>45002</v>
      </c>
      <c r="F238">
        <v>125</v>
      </c>
      <c r="G238">
        <v>4.9000000000000004</v>
      </c>
      <c r="H238" t="str">
        <f>TEXT(calls[[#This Row],[Date of Call]],"DDDD")</f>
        <v>Friday</v>
      </c>
      <c r="I238">
        <f>ROUND(calls[[#This Row],[Satisfaction Rating]],0)</f>
        <v>5</v>
      </c>
      <c r="N238" t="str" cm="1">
        <f t="array" ref="N238">_xlfn.IFS(_xlfn.SINGLE(calls[Duration])&lt;30,"UNDER 30 MINS",_xlfn.SINGLE(calls[Duration])&lt;60,"30 T0 60 MINS",_xlfn.SINGLE(calls[Duration])&lt;120,"1 TO 2 HRS",TRUE,"ABOVE 2 HRS")</f>
        <v>1 TO 2 HRS</v>
      </c>
    </row>
    <row r="239" spans="1:14" x14ac:dyDescent="0.3">
      <c r="A239" t="s">
        <v>273</v>
      </c>
      <c r="B239" t="s">
        <v>41</v>
      </c>
      <c r="C239">
        <v>64</v>
      </c>
      <c r="D239" t="s">
        <v>13</v>
      </c>
      <c r="E239" s="1">
        <v>45002</v>
      </c>
      <c r="F239">
        <v>22</v>
      </c>
      <c r="G239">
        <v>4.0999999999999996</v>
      </c>
      <c r="H239" t="str">
        <f>TEXT(calls[[#This Row],[Date of Call]],"DDDD")</f>
        <v>Friday</v>
      </c>
      <c r="I239">
        <f>ROUND(calls[[#This Row],[Satisfaction Rating]],0)</f>
        <v>4</v>
      </c>
      <c r="N239" t="str" cm="1">
        <f t="array" ref="N239">_xlfn.IFS(_xlfn.SINGLE(calls[Duration])&lt;30,"UNDER 30 MINS",_xlfn.SINGLE(calls[Duration])&lt;60,"30 T0 60 MINS",_xlfn.SINGLE(calls[Duration])&lt;120,"1 TO 2 HRS",TRUE,"ABOVE 2 HRS")</f>
        <v>1 TO 2 HRS</v>
      </c>
    </row>
    <row r="240" spans="1:14" x14ac:dyDescent="0.3">
      <c r="A240" t="s">
        <v>274</v>
      </c>
      <c r="B240" t="s">
        <v>22</v>
      </c>
      <c r="C240">
        <v>89</v>
      </c>
      <c r="D240" t="s">
        <v>36</v>
      </c>
      <c r="E240" s="1">
        <v>45003</v>
      </c>
      <c r="F240">
        <v>70</v>
      </c>
      <c r="G240">
        <v>4.9000000000000004</v>
      </c>
      <c r="H240" t="str">
        <f>TEXT(calls[[#This Row],[Date of Call]],"DDDD")</f>
        <v>Saturday</v>
      </c>
      <c r="I240">
        <f>ROUND(calls[[#This Row],[Satisfaction Rating]],0)</f>
        <v>5</v>
      </c>
      <c r="N240" t="str" cm="1">
        <f t="array" ref="N240">_xlfn.IFS(_xlfn.SINGLE(calls[Duration])&lt;30,"UNDER 30 MINS",_xlfn.SINGLE(calls[Duration])&lt;60,"30 T0 60 MINS",_xlfn.SINGLE(calls[Duration])&lt;120,"1 TO 2 HRS",TRUE,"ABOVE 2 HRS")</f>
        <v>1 TO 2 HRS</v>
      </c>
    </row>
    <row r="241" spans="1:14" x14ac:dyDescent="0.3">
      <c r="A241" t="s">
        <v>275</v>
      </c>
      <c r="B241" t="s">
        <v>50</v>
      </c>
      <c r="C241">
        <v>40</v>
      </c>
      <c r="D241" t="s">
        <v>23</v>
      </c>
      <c r="E241" s="1">
        <v>45003</v>
      </c>
      <c r="F241">
        <v>24</v>
      </c>
      <c r="G241">
        <v>4.3</v>
      </c>
      <c r="H241" t="str">
        <f>TEXT(calls[[#This Row],[Date of Call]],"DDDD")</f>
        <v>Saturday</v>
      </c>
      <c r="I241">
        <f>ROUND(calls[[#This Row],[Satisfaction Rating]],0)</f>
        <v>4</v>
      </c>
      <c r="N241" t="str" cm="1">
        <f t="array" ref="N241">_xlfn.IFS(_xlfn.SINGLE(calls[Duration])&lt;30,"UNDER 30 MINS",_xlfn.SINGLE(calls[Duration])&lt;60,"30 T0 60 MINS",_xlfn.SINGLE(calls[Duration])&lt;120,"1 TO 2 HRS",TRUE,"ABOVE 2 HRS")</f>
        <v>30 T0 60 MINS</v>
      </c>
    </row>
    <row r="242" spans="1:14" x14ac:dyDescent="0.3">
      <c r="A242" t="s">
        <v>276</v>
      </c>
      <c r="B242" t="s">
        <v>45</v>
      </c>
      <c r="C242">
        <v>75</v>
      </c>
      <c r="D242" t="s">
        <v>42</v>
      </c>
      <c r="E242" s="1">
        <v>45003</v>
      </c>
      <c r="F242">
        <v>32</v>
      </c>
      <c r="G242">
        <v>4.0999999999999996</v>
      </c>
      <c r="H242" t="str">
        <f>TEXT(calls[[#This Row],[Date of Call]],"DDDD")</f>
        <v>Saturday</v>
      </c>
      <c r="I242">
        <f>ROUND(calls[[#This Row],[Satisfaction Rating]],0)</f>
        <v>4</v>
      </c>
      <c r="N242" t="str" cm="1">
        <f t="array" ref="N242">_xlfn.IFS(_xlfn.SINGLE(calls[Duration])&lt;30,"UNDER 30 MINS",_xlfn.SINGLE(calls[Duration])&lt;60,"30 T0 60 MINS",_xlfn.SINGLE(calls[Duration])&lt;120,"1 TO 2 HRS",TRUE,"ABOVE 2 HRS")</f>
        <v>1 TO 2 HRS</v>
      </c>
    </row>
    <row r="243" spans="1:14" x14ac:dyDescent="0.3">
      <c r="A243" t="s">
        <v>277</v>
      </c>
      <c r="B243" t="s">
        <v>14</v>
      </c>
      <c r="C243">
        <v>106</v>
      </c>
      <c r="D243" t="s">
        <v>29</v>
      </c>
      <c r="E243" s="1">
        <v>45003</v>
      </c>
      <c r="F243">
        <v>112</v>
      </c>
      <c r="G243">
        <v>4.4000000000000004</v>
      </c>
      <c r="H243" t="str">
        <f>TEXT(calls[[#This Row],[Date of Call]],"DDDD")</f>
        <v>Saturday</v>
      </c>
      <c r="I243">
        <f>ROUND(calls[[#This Row],[Satisfaction Rating]],0)</f>
        <v>4</v>
      </c>
      <c r="N243" t="str" cm="1">
        <f t="array" ref="N243">_xlfn.IFS(_xlfn.SINGLE(calls[Duration])&lt;30,"UNDER 30 MINS",_xlfn.SINGLE(calls[Duration])&lt;60,"30 T0 60 MINS",_xlfn.SINGLE(calls[Duration])&lt;120,"1 TO 2 HRS",TRUE,"ABOVE 2 HRS")</f>
        <v>1 TO 2 HRS</v>
      </c>
    </row>
    <row r="244" spans="1:14" x14ac:dyDescent="0.3">
      <c r="A244" t="s">
        <v>278</v>
      </c>
      <c r="B244" t="s">
        <v>41</v>
      </c>
      <c r="C244">
        <v>58</v>
      </c>
      <c r="D244" t="s">
        <v>23</v>
      </c>
      <c r="E244" s="1">
        <v>45004</v>
      </c>
      <c r="F244">
        <v>43</v>
      </c>
      <c r="G244">
        <v>4.5</v>
      </c>
      <c r="H244" t="str">
        <f>TEXT(calls[[#This Row],[Date of Call]],"DDDD")</f>
        <v>Sunday</v>
      </c>
      <c r="I244">
        <f>ROUND(calls[[#This Row],[Satisfaction Rating]],0)</f>
        <v>5</v>
      </c>
      <c r="N244" t="str" cm="1">
        <f t="array" ref="N244">_xlfn.IFS(_xlfn.SINGLE(calls[Duration])&lt;30,"UNDER 30 MINS",_xlfn.SINGLE(calls[Duration])&lt;60,"30 T0 60 MINS",_xlfn.SINGLE(calls[Duration])&lt;120,"1 TO 2 HRS",TRUE,"ABOVE 2 HRS")</f>
        <v>30 T0 60 MINS</v>
      </c>
    </row>
    <row r="245" spans="1:14" x14ac:dyDescent="0.3">
      <c r="A245" t="s">
        <v>279</v>
      </c>
      <c r="B245" t="s">
        <v>31</v>
      </c>
      <c r="C245">
        <v>84</v>
      </c>
      <c r="D245" t="s">
        <v>29</v>
      </c>
      <c r="E245" s="1">
        <v>45004</v>
      </c>
      <c r="F245">
        <v>22</v>
      </c>
      <c r="G245">
        <v>3.5</v>
      </c>
      <c r="H245" t="str">
        <f>TEXT(calls[[#This Row],[Date of Call]],"DDDD")</f>
        <v>Sunday</v>
      </c>
      <c r="I245">
        <f>ROUND(calls[[#This Row],[Satisfaction Rating]],0)</f>
        <v>4</v>
      </c>
      <c r="N245" t="str" cm="1">
        <f t="array" ref="N245">_xlfn.IFS(_xlfn.SINGLE(calls[Duration])&lt;30,"UNDER 30 MINS",_xlfn.SINGLE(calls[Duration])&lt;60,"30 T0 60 MINS",_xlfn.SINGLE(calls[Duration])&lt;120,"1 TO 2 HRS",TRUE,"ABOVE 2 HRS")</f>
        <v>1 TO 2 HRS</v>
      </c>
    </row>
    <row r="246" spans="1:14" x14ac:dyDescent="0.3">
      <c r="A246" t="s">
        <v>280</v>
      </c>
      <c r="B246" t="s">
        <v>39</v>
      </c>
      <c r="C246">
        <v>140</v>
      </c>
      <c r="D246" t="s">
        <v>29</v>
      </c>
      <c r="E246" s="1">
        <v>45004</v>
      </c>
      <c r="F246">
        <v>93</v>
      </c>
      <c r="G246">
        <v>4.4000000000000004</v>
      </c>
      <c r="H246" t="str">
        <f>TEXT(calls[[#This Row],[Date of Call]],"DDDD")</f>
        <v>Sunday</v>
      </c>
      <c r="I246">
        <f>ROUND(calls[[#This Row],[Satisfaction Rating]],0)</f>
        <v>4</v>
      </c>
      <c r="N246" t="str" cm="1">
        <f t="array" ref="N246">_xlfn.IFS(_xlfn.SINGLE(calls[Duration])&lt;30,"UNDER 30 MINS",_xlfn.SINGLE(calls[Duration])&lt;60,"30 T0 60 MINS",_xlfn.SINGLE(calls[Duration])&lt;120,"1 TO 2 HRS",TRUE,"ABOVE 2 HRS")</f>
        <v>ABOVE 2 HRS</v>
      </c>
    </row>
    <row r="247" spans="1:14" x14ac:dyDescent="0.3">
      <c r="A247" t="s">
        <v>281</v>
      </c>
      <c r="B247" t="s">
        <v>41</v>
      </c>
      <c r="C247">
        <v>67</v>
      </c>
      <c r="D247" t="s">
        <v>29</v>
      </c>
      <c r="E247" s="1">
        <v>45004</v>
      </c>
      <c r="F247">
        <v>45</v>
      </c>
      <c r="G247">
        <v>3.5</v>
      </c>
      <c r="H247" t="str">
        <f>TEXT(calls[[#This Row],[Date of Call]],"DDDD")</f>
        <v>Sunday</v>
      </c>
      <c r="I247">
        <f>ROUND(calls[[#This Row],[Satisfaction Rating]],0)</f>
        <v>4</v>
      </c>
      <c r="N247" t="str" cm="1">
        <f t="array" ref="N247">_xlfn.IFS(_xlfn.SINGLE(calls[Duration])&lt;30,"UNDER 30 MINS",_xlfn.SINGLE(calls[Duration])&lt;60,"30 T0 60 MINS",_xlfn.SINGLE(calls[Duration])&lt;120,"1 TO 2 HRS",TRUE,"ABOVE 2 HRS")</f>
        <v>1 TO 2 HRS</v>
      </c>
    </row>
    <row r="248" spans="1:14" x14ac:dyDescent="0.3">
      <c r="A248" t="s">
        <v>282</v>
      </c>
      <c r="B248" t="s">
        <v>18</v>
      </c>
      <c r="C248">
        <v>126</v>
      </c>
      <c r="D248" t="s">
        <v>29</v>
      </c>
      <c r="E248" s="1">
        <v>45005</v>
      </c>
      <c r="F248">
        <v>96</v>
      </c>
      <c r="G248">
        <v>3.8</v>
      </c>
      <c r="H248" t="str">
        <f>TEXT(calls[[#This Row],[Date of Call]],"DDDD")</f>
        <v>Monday</v>
      </c>
      <c r="I248">
        <f>ROUND(calls[[#This Row],[Satisfaction Rating]],0)</f>
        <v>4</v>
      </c>
      <c r="N248" t="str" cm="1">
        <f t="array" ref="N248">_xlfn.IFS(_xlfn.SINGLE(calls[Duration])&lt;30,"UNDER 30 MINS",_xlfn.SINGLE(calls[Duration])&lt;60,"30 T0 60 MINS",_xlfn.SINGLE(calls[Duration])&lt;120,"1 TO 2 HRS",TRUE,"ABOVE 2 HRS")</f>
        <v>ABOVE 2 HRS</v>
      </c>
    </row>
    <row r="249" spans="1:14" x14ac:dyDescent="0.3">
      <c r="A249" t="s">
        <v>283</v>
      </c>
      <c r="B249" t="s">
        <v>18</v>
      </c>
      <c r="C249">
        <v>89</v>
      </c>
      <c r="D249" t="s">
        <v>23</v>
      </c>
      <c r="E249" s="1">
        <v>45005</v>
      </c>
      <c r="F249">
        <v>96</v>
      </c>
      <c r="G249">
        <v>3.3</v>
      </c>
      <c r="H249" t="str">
        <f>TEXT(calls[[#This Row],[Date of Call]],"DDDD")</f>
        <v>Monday</v>
      </c>
      <c r="I249">
        <f>ROUND(calls[[#This Row],[Satisfaction Rating]],0)</f>
        <v>3</v>
      </c>
      <c r="N249" t="str" cm="1">
        <f t="array" ref="N249">_xlfn.IFS(_xlfn.SINGLE(calls[Duration])&lt;30,"UNDER 30 MINS",_xlfn.SINGLE(calls[Duration])&lt;60,"30 T0 60 MINS",_xlfn.SINGLE(calls[Duration])&lt;120,"1 TO 2 HRS",TRUE,"ABOVE 2 HRS")</f>
        <v>1 TO 2 HRS</v>
      </c>
    </row>
    <row r="250" spans="1:14" x14ac:dyDescent="0.3">
      <c r="A250" t="s">
        <v>284</v>
      </c>
      <c r="B250" t="s">
        <v>22</v>
      </c>
      <c r="C250">
        <v>56</v>
      </c>
      <c r="D250" t="s">
        <v>13</v>
      </c>
      <c r="E250" s="1">
        <v>45005</v>
      </c>
      <c r="F250">
        <v>31</v>
      </c>
      <c r="G250">
        <v>4.4000000000000004</v>
      </c>
      <c r="H250" t="str">
        <f>TEXT(calls[[#This Row],[Date of Call]],"DDDD")</f>
        <v>Monday</v>
      </c>
      <c r="I250">
        <f>ROUND(calls[[#This Row],[Satisfaction Rating]],0)</f>
        <v>4</v>
      </c>
      <c r="N250" t="str" cm="1">
        <f t="array" ref="N250">_xlfn.IFS(_xlfn.SINGLE(calls[Duration])&lt;30,"UNDER 30 MINS",_xlfn.SINGLE(calls[Duration])&lt;60,"30 T0 60 MINS",_xlfn.SINGLE(calls[Duration])&lt;120,"1 TO 2 HRS",TRUE,"ABOVE 2 HRS")</f>
        <v>30 T0 60 MINS</v>
      </c>
    </row>
    <row r="251" spans="1:14" x14ac:dyDescent="0.3">
      <c r="A251" t="s">
        <v>285</v>
      </c>
      <c r="B251" t="s">
        <v>28</v>
      </c>
      <c r="C251">
        <v>48</v>
      </c>
      <c r="D251" t="s">
        <v>23</v>
      </c>
      <c r="E251" s="1">
        <v>45005</v>
      </c>
      <c r="F251">
        <v>200</v>
      </c>
      <c r="G251">
        <v>3.9</v>
      </c>
      <c r="H251" t="str">
        <f>TEXT(calls[[#This Row],[Date of Call]],"DDDD")</f>
        <v>Monday</v>
      </c>
      <c r="I251">
        <f>ROUND(calls[[#This Row],[Satisfaction Rating]],0)</f>
        <v>4</v>
      </c>
      <c r="N251" t="str" cm="1">
        <f t="array" ref="N251">_xlfn.IFS(_xlfn.SINGLE(calls[Duration])&lt;30,"UNDER 30 MINS",_xlfn.SINGLE(calls[Duration])&lt;60,"30 T0 60 MINS",_xlfn.SINGLE(calls[Duration])&lt;120,"1 TO 2 HRS",TRUE,"ABOVE 2 HRS")</f>
        <v>30 T0 60 MINS</v>
      </c>
    </row>
    <row r="252" spans="1:14" x14ac:dyDescent="0.3">
      <c r="A252" t="s">
        <v>286</v>
      </c>
      <c r="B252" t="s">
        <v>18</v>
      </c>
      <c r="C252">
        <v>55</v>
      </c>
      <c r="D252" t="s">
        <v>13</v>
      </c>
      <c r="E252" s="1">
        <v>45005</v>
      </c>
      <c r="F252">
        <v>99</v>
      </c>
      <c r="G252">
        <v>2.7</v>
      </c>
      <c r="H252" t="str">
        <f>TEXT(calls[[#This Row],[Date of Call]],"DDDD")</f>
        <v>Monday</v>
      </c>
      <c r="I252">
        <f>ROUND(calls[[#This Row],[Satisfaction Rating]],0)</f>
        <v>3</v>
      </c>
      <c r="N252" t="str" cm="1">
        <f t="array" ref="N252">_xlfn.IFS(_xlfn.SINGLE(calls[Duration])&lt;30,"UNDER 30 MINS",_xlfn.SINGLE(calls[Duration])&lt;60,"30 T0 60 MINS",_xlfn.SINGLE(calls[Duration])&lt;120,"1 TO 2 HRS",TRUE,"ABOVE 2 HRS")</f>
        <v>30 T0 60 MINS</v>
      </c>
    </row>
    <row r="253" spans="1:14" x14ac:dyDescent="0.3">
      <c r="A253" t="s">
        <v>287</v>
      </c>
      <c r="B253" t="s">
        <v>26</v>
      </c>
      <c r="C253">
        <v>88</v>
      </c>
      <c r="D253" t="s">
        <v>42</v>
      </c>
      <c r="E253" s="1">
        <v>45005</v>
      </c>
      <c r="F253">
        <v>144</v>
      </c>
      <c r="G253">
        <v>2.9</v>
      </c>
      <c r="H253" t="str">
        <f>TEXT(calls[[#This Row],[Date of Call]],"DDDD")</f>
        <v>Monday</v>
      </c>
      <c r="I253">
        <f>ROUND(calls[[#This Row],[Satisfaction Rating]],0)</f>
        <v>3</v>
      </c>
      <c r="N253" t="str" cm="1">
        <f t="array" ref="N253">_xlfn.IFS(_xlfn.SINGLE(calls[Duration])&lt;30,"UNDER 30 MINS",_xlfn.SINGLE(calls[Duration])&lt;60,"30 T0 60 MINS",_xlfn.SINGLE(calls[Duration])&lt;120,"1 TO 2 HRS",TRUE,"ABOVE 2 HRS")</f>
        <v>1 TO 2 HRS</v>
      </c>
    </row>
    <row r="254" spans="1:14" x14ac:dyDescent="0.3">
      <c r="A254" t="s">
        <v>288</v>
      </c>
      <c r="B254" t="s">
        <v>22</v>
      </c>
      <c r="C254">
        <v>102</v>
      </c>
      <c r="D254" t="s">
        <v>29</v>
      </c>
      <c r="E254" s="1">
        <v>45006</v>
      </c>
      <c r="F254">
        <v>81</v>
      </c>
      <c r="G254">
        <v>4</v>
      </c>
      <c r="H254" t="str">
        <f>TEXT(calls[[#This Row],[Date of Call]],"DDDD")</f>
        <v>Tuesday</v>
      </c>
      <c r="I254">
        <f>ROUND(calls[[#This Row],[Satisfaction Rating]],0)</f>
        <v>4</v>
      </c>
      <c r="N254" t="str" cm="1">
        <f t="array" ref="N254">_xlfn.IFS(_xlfn.SINGLE(calls[Duration])&lt;30,"UNDER 30 MINS",_xlfn.SINGLE(calls[Duration])&lt;60,"30 T0 60 MINS",_xlfn.SINGLE(calls[Duration])&lt;120,"1 TO 2 HRS",TRUE,"ABOVE 2 HRS")</f>
        <v>1 TO 2 HRS</v>
      </c>
    </row>
    <row r="255" spans="1:14" x14ac:dyDescent="0.3">
      <c r="A255" t="s">
        <v>289</v>
      </c>
      <c r="B255" t="s">
        <v>26</v>
      </c>
      <c r="C255">
        <v>155</v>
      </c>
      <c r="D255" t="s">
        <v>42</v>
      </c>
      <c r="E255" s="1">
        <v>45006</v>
      </c>
      <c r="F255">
        <v>70</v>
      </c>
      <c r="G255">
        <v>4.4000000000000004</v>
      </c>
      <c r="H255" t="str">
        <f>TEXT(calls[[#This Row],[Date of Call]],"DDDD")</f>
        <v>Tuesday</v>
      </c>
      <c r="I255">
        <f>ROUND(calls[[#This Row],[Satisfaction Rating]],0)</f>
        <v>4</v>
      </c>
      <c r="N255" t="str" cm="1">
        <f t="array" ref="N255">_xlfn.IFS(_xlfn.SINGLE(calls[Duration])&lt;30,"UNDER 30 MINS",_xlfn.SINGLE(calls[Duration])&lt;60,"30 T0 60 MINS",_xlfn.SINGLE(calls[Duration])&lt;120,"1 TO 2 HRS",TRUE,"ABOVE 2 HRS")</f>
        <v>ABOVE 2 HRS</v>
      </c>
    </row>
    <row r="256" spans="1:14" x14ac:dyDescent="0.3">
      <c r="A256" t="s">
        <v>290</v>
      </c>
      <c r="B256" t="s">
        <v>18</v>
      </c>
      <c r="C256">
        <v>63</v>
      </c>
      <c r="D256" t="s">
        <v>42</v>
      </c>
      <c r="E256" s="1">
        <v>45006</v>
      </c>
      <c r="F256">
        <v>148</v>
      </c>
      <c r="G256">
        <v>5</v>
      </c>
      <c r="H256" t="str">
        <f>TEXT(calls[[#This Row],[Date of Call]],"DDDD")</f>
        <v>Tuesday</v>
      </c>
      <c r="I256">
        <f>ROUND(calls[[#This Row],[Satisfaction Rating]],0)</f>
        <v>5</v>
      </c>
      <c r="N256" t="str" cm="1">
        <f t="array" ref="N256">_xlfn.IFS(_xlfn.SINGLE(calls[Duration])&lt;30,"UNDER 30 MINS",_xlfn.SINGLE(calls[Duration])&lt;60,"30 T0 60 MINS",_xlfn.SINGLE(calls[Duration])&lt;120,"1 TO 2 HRS",TRUE,"ABOVE 2 HRS")</f>
        <v>1 TO 2 HRS</v>
      </c>
    </row>
    <row r="257" spans="1:14" x14ac:dyDescent="0.3">
      <c r="A257" t="s">
        <v>291</v>
      </c>
      <c r="B257" t="s">
        <v>33</v>
      </c>
      <c r="C257">
        <v>59</v>
      </c>
      <c r="D257" t="s">
        <v>29</v>
      </c>
      <c r="E257" s="1">
        <v>45006</v>
      </c>
      <c r="F257">
        <v>215</v>
      </c>
      <c r="G257">
        <v>4.0999999999999996</v>
      </c>
      <c r="H257" t="str">
        <f>TEXT(calls[[#This Row],[Date of Call]],"DDDD")</f>
        <v>Tuesday</v>
      </c>
      <c r="I257">
        <f>ROUND(calls[[#This Row],[Satisfaction Rating]],0)</f>
        <v>4</v>
      </c>
      <c r="N257" t="str" cm="1">
        <f t="array" ref="N257">_xlfn.IFS(_xlfn.SINGLE(calls[Duration])&lt;30,"UNDER 30 MINS",_xlfn.SINGLE(calls[Duration])&lt;60,"30 T0 60 MINS",_xlfn.SINGLE(calls[Duration])&lt;120,"1 TO 2 HRS",TRUE,"ABOVE 2 HRS")</f>
        <v>30 T0 60 MINS</v>
      </c>
    </row>
    <row r="258" spans="1:14" x14ac:dyDescent="0.3">
      <c r="A258" t="s">
        <v>292</v>
      </c>
      <c r="B258" t="s">
        <v>33</v>
      </c>
      <c r="C258">
        <v>144</v>
      </c>
      <c r="D258" t="s">
        <v>23</v>
      </c>
      <c r="E258" s="1">
        <v>45006</v>
      </c>
      <c r="F258">
        <v>124</v>
      </c>
      <c r="G258">
        <v>4.4000000000000004</v>
      </c>
      <c r="H258" t="str">
        <f>TEXT(calls[[#This Row],[Date of Call]],"DDDD")</f>
        <v>Tuesday</v>
      </c>
      <c r="I258">
        <f>ROUND(calls[[#This Row],[Satisfaction Rating]],0)</f>
        <v>4</v>
      </c>
      <c r="N258" t="str" cm="1">
        <f t="array" ref="N258">_xlfn.IFS(_xlfn.SINGLE(calls[Duration])&lt;30,"UNDER 30 MINS",_xlfn.SINGLE(calls[Duration])&lt;60,"30 T0 60 MINS",_xlfn.SINGLE(calls[Duration])&lt;120,"1 TO 2 HRS",TRUE,"ABOVE 2 HRS")</f>
        <v>ABOVE 2 HRS</v>
      </c>
    </row>
    <row r="259" spans="1:14" x14ac:dyDescent="0.3">
      <c r="A259" t="s">
        <v>293</v>
      </c>
      <c r="B259" t="s">
        <v>31</v>
      </c>
      <c r="C259">
        <v>113</v>
      </c>
      <c r="D259" t="s">
        <v>36</v>
      </c>
      <c r="E259" s="1">
        <v>45006</v>
      </c>
      <c r="F259">
        <v>168</v>
      </c>
      <c r="G259">
        <v>4.0999999999999996</v>
      </c>
      <c r="H259" t="str">
        <f>TEXT(calls[[#This Row],[Date of Call]],"DDDD")</f>
        <v>Tuesday</v>
      </c>
      <c r="I259">
        <f>ROUND(calls[[#This Row],[Satisfaction Rating]],0)</f>
        <v>4</v>
      </c>
      <c r="N259" t="str" cm="1">
        <f t="array" ref="N259">_xlfn.IFS(_xlfn.SINGLE(calls[Duration])&lt;30,"UNDER 30 MINS",_xlfn.SINGLE(calls[Duration])&lt;60,"30 T0 60 MINS",_xlfn.SINGLE(calls[Duration])&lt;120,"1 TO 2 HRS",TRUE,"ABOVE 2 HRS")</f>
        <v>1 TO 2 HRS</v>
      </c>
    </row>
    <row r="260" spans="1:14" x14ac:dyDescent="0.3">
      <c r="A260" t="s">
        <v>294</v>
      </c>
      <c r="B260" t="s">
        <v>46</v>
      </c>
      <c r="C260">
        <v>154</v>
      </c>
      <c r="D260" t="s">
        <v>13</v>
      </c>
      <c r="E260" s="1">
        <v>45006</v>
      </c>
      <c r="F260">
        <v>90</v>
      </c>
      <c r="G260">
        <v>4.5</v>
      </c>
      <c r="H260" t="str">
        <f>TEXT(calls[[#This Row],[Date of Call]],"DDDD")</f>
        <v>Tuesday</v>
      </c>
      <c r="I260">
        <f>ROUND(calls[[#This Row],[Satisfaction Rating]],0)</f>
        <v>5</v>
      </c>
      <c r="N260" t="str" cm="1">
        <f t="array" ref="N260">_xlfn.IFS(_xlfn.SINGLE(calls[Duration])&lt;30,"UNDER 30 MINS",_xlfn.SINGLE(calls[Duration])&lt;60,"30 T0 60 MINS",_xlfn.SINGLE(calls[Duration])&lt;120,"1 TO 2 HRS",TRUE,"ABOVE 2 HRS")</f>
        <v>ABOVE 2 HRS</v>
      </c>
    </row>
    <row r="261" spans="1:14" x14ac:dyDescent="0.3">
      <c r="A261" t="s">
        <v>295</v>
      </c>
      <c r="B261" t="s">
        <v>46</v>
      </c>
      <c r="C261">
        <v>58</v>
      </c>
      <c r="D261" t="s">
        <v>29</v>
      </c>
      <c r="E261" s="1">
        <v>45007</v>
      </c>
      <c r="F261">
        <v>176</v>
      </c>
      <c r="G261">
        <v>4.2</v>
      </c>
      <c r="H261" t="str">
        <f>TEXT(calls[[#This Row],[Date of Call]],"DDDD")</f>
        <v>Wednesday</v>
      </c>
      <c r="I261">
        <f>ROUND(calls[[#This Row],[Satisfaction Rating]],0)</f>
        <v>4</v>
      </c>
      <c r="N261" t="str" cm="1">
        <f t="array" ref="N261">_xlfn.IFS(_xlfn.SINGLE(calls[Duration])&lt;30,"UNDER 30 MINS",_xlfn.SINGLE(calls[Duration])&lt;60,"30 T0 60 MINS",_xlfn.SINGLE(calls[Duration])&lt;120,"1 TO 2 HRS",TRUE,"ABOVE 2 HRS")</f>
        <v>30 T0 60 MINS</v>
      </c>
    </row>
    <row r="262" spans="1:14" x14ac:dyDescent="0.3">
      <c r="A262" t="s">
        <v>296</v>
      </c>
      <c r="B262" t="s">
        <v>28</v>
      </c>
      <c r="C262">
        <v>63</v>
      </c>
      <c r="D262" t="s">
        <v>42</v>
      </c>
      <c r="E262" s="1">
        <v>45007</v>
      </c>
      <c r="F262">
        <v>87</v>
      </c>
      <c r="G262">
        <v>4.5999999999999996</v>
      </c>
      <c r="H262" t="str">
        <f>TEXT(calls[[#This Row],[Date of Call]],"DDDD")</f>
        <v>Wednesday</v>
      </c>
      <c r="I262">
        <f>ROUND(calls[[#This Row],[Satisfaction Rating]],0)</f>
        <v>5</v>
      </c>
      <c r="N262" t="str" cm="1">
        <f t="array" ref="N262">_xlfn.IFS(_xlfn.SINGLE(calls[Duration])&lt;30,"UNDER 30 MINS",_xlfn.SINGLE(calls[Duration])&lt;60,"30 T0 60 MINS",_xlfn.SINGLE(calls[Duration])&lt;120,"1 TO 2 HRS",TRUE,"ABOVE 2 HRS")</f>
        <v>1 TO 2 HRS</v>
      </c>
    </row>
    <row r="263" spans="1:14" x14ac:dyDescent="0.3">
      <c r="A263" t="s">
        <v>297</v>
      </c>
      <c r="B263" t="s">
        <v>39</v>
      </c>
      <c r="C263">
        <v>59</v>
      </c>
      <c r="D263" t="s">
        <v>23</v>
      </c>
      <c r="E263" s="1">
        <v>45007</v>
      </c>
      <c r="F263">
        <v>128</v>
      </c>
      <c r="G263">
        <v>4.5</v>
      </c>
      <c r="H263" t="str">
        <f>TEXT(calls[[#This Row],[Date of Call]],"DDDD")</f>
        <v>Wednesday</v>
      </c>
      <c r="I263">
        <f>ROUND(calls[[#This Row],[Satisfaction Rating]],0)</f>
        <v>5</v>
      </c>
      <c r="N263" t="str" cm="1">
        <f t="array" ref="N263">_xlfn.IFS(_xlfn.SINGLE(calls[Duration])&lt;30,"UNDER 30 MINS",_xlfn.SINGLE(calls[Duration])&lt;60,"30 T0 60 MINS",_xlfn.SINGLE(calls[Duration])&lt;120,"1 TO 2 HRS",TRUE,"ABOVE 2 HRS")</f>
        <v>30 T0 60 MINS</v>
      </c>
    </row>
    <row r="264" spans="1:14" x14ac:dyDescent="0.3">
      <c r="A264" t="s">
        <v>298</v>
      </c>
      <c r="B264" t="s">
        <v>37</v>
      </c>
      <c r="C264">
        <v>129</v>
      </c>
      <c r="D264" t="s">
        <v>42</v>
      </c>
      <c r="E264" s="1">
        <v>45007</v>
      </c>
      <c r="F264">
        <v>120</v>
      </c>
      <c r="G264">
        <v>4.0999999999999996</v>
      </c>
      <c r="H264" t="str">
        <f>TEXT(calls[[#This Row],[Date of Call]],"DDDD")</f>
        <v>Wednesday</v>
      </c>
      <c r="I264">
        <f>ROUND(calls[[#This Row],[Satisfaction Rating]],0)</f>
        <v>4</v>
      </c>
      <c r="N264" t="str" cm="1">
        <f t="array" ref="N264">_xlfn.IFS(_xlfn.SINGLE(calls[Duration])&lt;30,"UNDER 30 MINS",_xlfn.SINGLE(calls[Duration])&lt;60,"30 T0 60 MINS",_xlfn.SINGLE(calls[Duration])&lt;120,"1 TO 2 HRS",TRUE,"ABOVE 2 HRS")</f>
        <v>ABOVE 2 HRS</v>
      </c>
    </row>
    <row r="265" spans="1:14" x14ac:dyDescent="0.3">
      <c r="A265" t="s">
        <v>299</v>
      </c>
      <c r="B265" t="s">
        <v>19</v>
      </c>
      <c r="C265">
        <v>101</v>
      </c>
      <c r="D265" t="s">
        <v>36</v>
      </c>
      <c r="E265" s="1">
        <v>45007</v>
      </c>
      <c r="F265">
        <v>130</v>
      </c>
      <c r="G265">
        <v>4.8</v>
      </c>
      <c r="H265" t="str">
        <f>TEXT(calls[[#This Row],[Date of Call]],"DDDD")</f>
        <v>Wednesday</v>
      </c>
      <c r="I265">
        <f>ROUND(calls[[#This Row],[Satisfaction Rating]],0)</f>
        <v>5</v>
      </c>
      <c r="N265" t="str" cm="1">
        <f t="array" ref="N265">_xlfn.IFS(_xlfn.SINGLE(calls[Duration])&lt;30,"UNDER 30 MINS",_xlfn.SINGLE(calls[Duration])&lt;60,"30 T0 60 MINS",_xlfn.SINGLE(calls[Duration])&lt;120,"1 TO 2 HRS",TRUE,"ABOVE 2 HRS")</f>
        <v>1 TO 2 HRS</v>
      </c>
    </row>
    <row r="266" spans="1:14" x14ac:dyDescent="0.3">
      <c r="A266" t="s">
        <v>300</v>
      </c>
      <c r="B266" t="s">
        <v>50</v>
      </c>
      <c r="C266">
        <v>154</v>
      </c>
      <c r="D266" t="s">
        <v>23</v>
      </c>
      <c r="E266" s="1">
        <v>45007</v>
      </c>
      <c r="F266">
        <v>172</v>
      </c>
      <c r="G266">
        <v>3.1</v>
      </c>
      <c r="H266" t="str">
        <f>TEXT(calls[[#This Row],[Date of Call]],"DDDD")</f>
        <v>Wednesday</v>
      </c>
      <c r="I266">
        <f>ROUND(calls[[#This Row],[Satisfaction Rating]],0)</f>
        <v>3</v>
      </c>
      <c r="N266" t="str" cm="1">
        <f t="array" ref="N266">_xlfn.IFS(_xlfn.SINGLE(calls[Duration])&lt;30,"UNDER 30 MINS",_xlfn.SINGLE(calls[Duration])&lt;60,"30 T0 60 MINS",_xlfn.SINGLE(calls[Duration])&lt;120,"1 TO 2 HRS",TRUE,"ABOVE 2 HRS")</f>
        <v>ABOVE 2 HRS</v>
      </c>
    </row>
    <row r="267" spans="1:14" x14ac:dyDescent="0.3">
      <c r="A267" t="s">
        <v>301</v>
      </c>
      <c r="B267" t="s">
        <v>41</v>
      </c>
      <c r="C267">
        <v>131</v>
      </c>
      <c r="D267" t="s">
        <v>23</v>
      </c>
      <c r="E267" s="1">
        <v>45007</v>
      </c>
      <c r="F267">
        <v>58</v>
      </c>
      <c r="G267">
        <v>4.9000000000000004</v>
      </c>
      <c r="H267" t="str">
        <f>TEXT(calls[[#This Row],[Date of Call]],"DDDD")</f>
        <v>Wednesday</v>
      </c>
      <c r="I267">
        <f>ROUND(calls[[#This Row],[Satisfaction Rating]],0)</f>
        <v>5</v>
      </c>
      <c r="N267" t="str" cm="1">
        <f t="array" ref="N267">_xlfn.IFS(_xlfn.SINGLE(calls[Duration])&lt;30,"UNDER 30 MINS",_xlfn.SINGLE(calls[Duration])&lt;60,"30 T0 60 MINS",_xlfn.SINGLE(calls[Duration])&lt;120,"1 TO 2 HRS",TRUE,"ABOVE 2 HRS")</f>
        <v>ABOVE 2 HRS</v>
      </c>
    </row>
    <row r="268" spans="1:14" x14ac:dyDescent="0.3">
      <c r="A268" t="s">
        <v>302</v>
      </c>
      <c r="B268" t="s">
        <v>33</v>
      </c>
      <c r="C268">
        <v>111</v>
      </c>
      <c r="D268" t="s">
        <v>36</v>
      </c>
      <c r="E268" s="1">
        <v>45008</v>
      </c>
      <c r="F268">
        <v>86</v>
      </c>
      <c r="G268">
        <v>4.0999999999999996</v>
      </c>
      <c r="H268" t="str">
        <f>TEXT(calls[[#This Row],[Date of Call]],"DDDD")</f>
        <v>Thursday</v>
      </c>
      <c r="I268">
        <f>ROUND(calls[[#This Row],[Satisfaction Rating]],0)</f>
        <v>4</v>
      </c>
      <c r="N268" t="str" cm="1">
        <f t="array" ref="N268">_xlfn.IFS(_xlfn.SINGLE(calls[Duration])&lt;30,"UNDER 30 MINS",_xlfn.SINGLE(calls[Duration])&lt;60,"30 T0 60 MINS",_xlfn.SINGLE(calls[Duration])&lt;120,"1 TO 2 HRS",TRUE,"ABOVE 2 HRS")</f>
        <v>1 TO 2 HRS</v>
      </c>
    </row>
    <row r="269" spans="1:14" x14ac:dyDescent="0.3">
      <c r="A269" t="s">
        <v>303</v>
      </c>
      <c r="B269" t="s">
        <v>46</v>
      </c>
      <c r="C269">
        <v>142</v>
      </c>
      <c r="D269" t="s">
        <v>36</v>
      </c>
      <c r="E269" s="1">
        <v>45009</v>
      </c>
      <c r="F269">
        <v>31</v>
      </c>
      <c r="G269">
        <v>4.4000000000000004</v>
      </c>
      <c r="H269" t="str">
        <f>TEXT(calls[[#This Row],[Date of Call]],"DDDD")</f>
        <v>Friday</v>
      </c>
      <c r="I269">
        <f>ROUND(calls[[#This Row],[Satisfaction Rating]],0)</f>
        <v>4</v>
      </c>
      <c r="N269" t="str" cm="1">
        <f t="array" ref="N269">_xlfn.IFS(_xlfn.SINGLE(calls[Duration])&lt;30,"UNDER 30 MINS",_xlfn.SINGLE(calls[Duration])&lt;60,"30 T0 60 MINS",_xlfn.SINGLE(calls[Duration])&lt;120,"1 TO 2 HRS",TRUE,"ABOVE 2 HRS")</f>
        <v>ABOVE 2 HRS</v>
      </c>
    </row>
    <row r="270" spans="1:14" x14ac:dyDescent="0.3">
      <c r="A270" t="s">
        <v>304</v>
      </c>
      <c r="B270" t="s">
        <v>22</v>
      </c>
      <c r="C270">
        <v>93</v>
      </c>
      <c r="D270" t="s">
        <v>42</v>
      </c>
      <c r="E270" s="1">
        <v>45009</v>
      </c>
      <c r="F270">
        <v>72</v>
      </c>
      <c r="G270">
        <v>4.4000000000000004</v>
      </c>
      <c r="H270" t="str">
        <f>TEXT(calls[[#This Row],[Date of Call]],"DDDD")</f>
        <v>Friday</v>
      </c>
      <c r="I270">
        <f>ROUND(calls[[#This Row],[Satisfaction Rating]],0)</f>
        <v>4</v>
      </c>
      <c r="N270" t="str" cm="1">
        <f t="array" ref="N270">_xlfn.IFS(_xlfn.SINGLE(calls[Duration])&lt;30,"UNDER 30 MINS",_xlfn.SINGLE(calls[Duration])&lt;60,"30 T0 60 MINS",_xlfn.SINGLE(calls[Duration])&lt;120,"1 TO 2 HRS",TRUE,"ABOVE 2 HRS")</f>
        <v>1 TO 2 HRS</v>
      </c>
    </row>
    <row r="271" spans="1:14" x14ac:dyDescent="0.3">
      <c r="A271" t="s">
        <v>305</v>
      </c>
      <c r="B271" t="s">
        <v>46</v>
      </c>
      <c r="C271">
        <v>125</v>
      </c>
      <c r="D271" t="s">
        <v>13</v>
      </c>
      <c r="E271" s="1">
        <v>45010</v>
      </c>
      <c r="F271">
        <v>27</v>
      </c>
      <c r="G271">
        <v>3</v>
      </c>
      <c r="H271" t="str">
        <f>TEXT(calls[[#This Row],[Date of Call]],"DDDD")</f>
        <v>Saturday</v>
      </c>
      <c r="I271">
        <f>ROUND(calls[[#This Row],[Satisfaction Rating]],0)</f>
        <v>3</v>
      </c>
      <c r="N271" t="str" cm="1">
        <f t="array" ref="N271">_xlfn.IFS(_xlfn.SINGLE(calls[Duration])&lt;30,"UNDER 30 MINS",_xlfn.SINGLE(calls[Duration])&lt;60,"30 T0 60 MINS",_xlfn.SINGLE(calls[Duration])&lt;120,"1 TO 2 HRS",TRUE,"ABOVE 2 HRS")</f>
        <v>ABOVE 2 HRS</v>
      </c>
    </row>
    <row r="272" spans="1:14" x14ac:dyDescent="0.3">
      <c r="A272" t="s">
        <v>306</v>
      </c>
      <c r="B272" t="s">
        <v>37</v>
      </c>
      <c r="C272">
        <v>76</v>
      </c>
      <c r="D272" t="s">
        <v>23</v>
      </c>
      <c r="E272" s="1">
        <v>45010</v>
      </c>
      <c r="F272">
        <v>110</v>
      </c>
      <c r="G272">
        <v>4.4000000000000004</v>
      </c>
      <c r="H272" t="str">
        <f>TEXT(calls[[#This Row],[Date of Call]],"DDDD")</f>
        <v>Saturday</v>
      </c>
      <c r="I272">
        <f>ROUND(calls[[#This Row],[Satisfaction Rating]],0)</f>
        <v>4</v>
      </c>
      <c r="N272" t="str" cm="1">
        <f t="array" ref="N272">_xlfn.IFS(_xlfn.SINGLE(calls[Duration])&lt;30,"UNDER 30 MINS",_xlfn.SINGLE(calls[Duration])&lt;60,"30 T0 60 MINS",_xlfn.SINGLE(calls[Duration])&lt;120,"1 TO 2 HRS",TRUE,"ABOVE 2 HRS")</f>
        <v>1 TO 2 HRS</v>
      </c>
    </row>
    <row r="273" spans="1:14" x14ac:dyDescent="0.3">
      <c r="A273" t="s">
        <v>307</v>
      </c>
      <c r="B273" t="s">
        <v>31</v>
      </c>
      <c r="C273">
        <v>69</v>
      </c>
      <c r="D273" t="s">
        <v>42</v>
      </c>
      <c r="E273" s="1">
        <v>45010</v>
      </c>
      <c r="F273">
        <v>126</v>
      </c>
      <c r="G273">
        <v>3.7</v>
      </c>
      <c r="H273" t="str">
        <f>TEXT(calls[[#This Row],[Date of Call]],"DDDD")</f>
        <v>Saturday</v>
      </c>
      <c r="I273">
        <f>ROUND(calls[[#This Row],[Satisfaction Rating]],0)</f>
        <v>4</v>
      </c>
      <c r="N273" t="str" cm="1">
        <f t="array" ref="N273">_xlfn.IFS(_xlfn.SINGLE(calls[Duration])&lt;30,"UNDER 30 MINS",_xlfn.SINGLE(calls[Duration])&lt;60,"30 T0 60 MINS",_xlfn.SINGLE(calls[Duration])&lt;120,"1 TO 2 HRS",TRUE,"ABOVE 2 HRS")</f>
        <v>1 TO 2 HRS</v>
      </c>
    </row>
    <row r="274" spans="1:14" x14ac:dyDescent="0.3">
      <c r="A274" t="s">
        <v>308</v>
      </c>
      <c r="B274" t="s">
        <v>39</v>
      </c>
      <c r="C274">
        <v>149</v>
      </c>
      <c r="D274" t="s">
        <v>13</v>
      </c>
      <c r="E274" s="1">
        <v>45010</v>
      </c>
      <c r="F274">
        <v>60</v>
      </c>
      <c r="G274">
        <v>3.9</v>
      </c>
      <c r="H274" t="str">
        <f>TEXT(calls[[#This Row],[Date of Call]],"DDDD")</f>
        <v>Saturday</v>
      </c>
      <c r="I274">
        <f>ROUND(calls[[#This Row],[Satisfaction Rating]],0)</f>
        <v>4</v>
      </c>
      <c r="N274" t="str" cm="1">
        <f t="array" ref="N274">_xlfn.IFS(_xlfn.SINGLE(calls[Duration])&lt;30,"UNDER 30 MINS",_xlfn.SINGLE(calls[Duration])&lt;60,"30 T0 60 MINS",_xlfn.SINGLE(calls[Duration])&lt;120,"1 TO 2 HRS",TRUE,"ABOVE 2 HRS")</f>
        <v>ABOVE 2 HRS</v>
      </c>
    </row>
    <row r="275" spans="1:14" x14ac:dyDescent="0.3">
      <c r="A275" t="s">
        <v>309</v>
      </c>
      <c r="B275" t="s">
        <v>46</v>
      </c>
      <c r="C275">
        <v>57</v>
      </c>
      <c r="D275" t="s">
        <v>42</v>
      </c>
      <c r="E275" s="1">
        <v>45010</v>
      </c>
      <c r="F275">
        <v>35</v>
      </c>
      <c r="G275">
        <v>3.5</v>
      </c>
      <c r="H275" t="str">
        <f>TEXT(calls[[#This Row],[Date of Call]],"DDDD")</f>
        <v>Saturday</v>
      </c>
      <c r="I275">
        <f>ROUND(calls[[#This Row],[Satisfaction Rating]],0)</f>
        <v>4</v>
      </c>
      <c r="N275" t="str" cm="1">
        <f t="array" ref="N275">_xlfn.IFS(_xlfn.SINGLE(calls[Duration])&lt;30,"UNDER 30 MINS",_xlfn.SINGLE(calls[Duration])&lt;60,"30 T0 60 MINS",_xlfn.SINGLE(calls[Duration])&lt;120,"1 TO 2 HRS",TRUE,"ABOVE 2 HRS")</f>
        <v>30 T0 60 MINS</v>
      </c>
    </row>
    <row r="276" spans="1:14" x14ac:dyDescent="0.3">
      <c r="A276" t="s">
        <v>310</v>
      </c>
      <c r="B276" t="s">
        <v>18</v>
      </c>
      <c r="C276">
        <v>113</v>
      </c>
      <c r="D276" t="s">
        <v>23</v>
      </c>
      <c r="E276" s="1">
        <v>45010</v>
      </c>
      <c r="F276">
        <v>81</v>
      </c>
      <c r="G276">
        <v>3.5</v>
      </c>
      <c r="H276" t="str">
        <f>TEXT(calls[[#This Row],[Date of Call]],"DDDD")</f>
        <v>Saturday</v>
      </c>
      <c r="I276">
        <f>ROUND(calls[[#This Row],[Satisfaction Rating]],0)</f>
        <v>4</v>
      </c>
      <c r="N276" t="str" cm="1">
        <f t="array" ref="N276">_xlfn.IFS(_xlfn.SINGLE(calls[Duration])&lt;30,"UNDER 30 MINS",_xlfn.SINGLE(calls[Duration])&lt;60,"30 T0 60 MINS",_xlfn.SINGLE(calls[Duration])&lt;120,"1 TO 2 HRS",TRUE,"ABOVE 2 HRS")</f>
        <v>1 TO 2 HRS</v>
      </c>
    </row>
    <row r="277" spans="1:14" x14ac:dyDescent="0.3">
      <c r="A277" t="s">
        <v>311</v>
      </c>
      <c r="B277" t="s">
        <v>12</v>
      </c>
      <c r="C277">
        <v>160</v>
      </c>
      <c r="D277" t="s">
        <v>13</v>
      </c>
      <c r="E277" s="1">
        <v>45010</v>
      </c>
      <c r="F277">
        <v>116</v>
      </c>
      <c r="G277">
        <v>3.4</v>
      </c>
      <c r="H277" t="str">
        <f>TEXT(calls[[#This Row],[Date of Call]],"DDDD")</f>
        <v>Saturday</v>
      </c>
      <c r="I277">
        <f>ROUND(calls[[#This Row],[Satisfaction Rating]],0)</f>
        <v>3</v>
      </c>
      <c r="N277" t="str" cm="1">
        <f t="array" ref="N277">_xlfn.IFS(_xlfn.SINGLE(calls[Duration])&lt;30,"UNDER 30 MINS",_xlfn.SINGLE(calls[Duration])&lt;60,"30 T0 60 MINS",_xlfn.SINGLE(calls[Duration])&lt;120,"1 TO 2 HRS",TRUE,"ABOVE 2 HRS")</f>
        <v>ABOVE 2 HRS</v>
      </c>
    </row>
    <row r="278" spans="1:14" x14ac:dyDescent="0.3">
      <c r="A278" t="s">
        <v>312</v>
      </c>
      <c r="B278" t="s">
        <v>28</v>
      </c>
      <c r="C278">
        <v>158</v>
      </c>
      <c r="D278" t="s">
        <v>29</v>
      </c>
      <c r="E278" s="1">
        <v>45010</v>
      </c>
      <c r="F278">
        <v>60</v>
      </c>
      <c r="G278">
        <v>4.5</v>
      </c>
      <c r="H278" t="str">
        <f>TEXT(calls[[#This Row],[Date of Call]],"DDDD")</f>
        <v>Saturday</v>
      </c>
      <c r="I278">
        <f>ROUND(calls[[#This Row],[Satisfaction Rating]],0)</f>
        <v>5</v>
      </c>
      <c r="N278" t="str" cm="1">
        <f t="array" ref="N278">_xlfn.IFS(_xlfn.SINGLE(calls[Duration])&lt;30,"UNDER 30 MINS",_xlfn.SINGLE(calls[Duration])&lt;60,"30 T0 60 MINS",_xlfn.SINGLE(calls[Duration])&lt;120,"1 TO 2 HRS",TRUE,"ABOVE 2 HRS")</f>
        <v>ABOVE 2 HRS</v>
      </c>
    </row>
    <row r="279" spans="1:14" x14ac:dyDescent="0.3">
      <c r="A279" t="s">
        <v>313</v>
      </c>
      <c r="B279" t="s">
        <v>31</v>
      </c>
      <c r="C279">
        <v>77</v>
      </c>
      <c r="D279" t="s">
        <v>13</v>
      </c>
      <c r="E279" s="1">
        <v>45011</v>
      </c>
      <c r="F279">
        <v>130</v>
      </c>
      <c r="G279">
        <v>4.2</v>
      </c>
      <c r="H279" t="str">
        <f>TEXT(calls[[#This Row],[Date of Call]],"DDDD")</f>
        <v>Sunday</v>
      </c>
      <c r="I279">
        <f>ROUND(calls[[#This Row],[Satisfaction Rating]],0)</f>
        <v>4</v>
      </c>
      <c r="N279" t="str" cm="1">
        <f t="array" ref="N279">_xlfn.IFS(_xlfn.SINGLE(calls[Duration])&lt;30,"UNDER 30 MINS",_xlfn.SINGLE(calls[Duration])&lt;60,"30 T0 60 MINS",_xlfn.SINGLE(calls[Duration])&lt;120,"1 TO 2 HRS",TRUE,"ABOVE 2 HRS")</f>
        <v>1 TO 2 HRS</v>
      </c>
    </row>
    <row r="280" spans="1:14" x14ac:dyDescent="0.3">
      <c r="A280" t="s">
        <v>314</v>
      </c>
      <c r="B280" t="s">
        <v>45</v>
      </c>
      <c r="C280">
        <v>118</v>
      </c>
      <c r="D280" t="s">
        <v>36</v>
      </c>
      <c r="E280" s="1">
        <v>45011</v>
      </c>
      <c r="F280">
        <v>99</v>
      </c>
      <c r="G280">
        <v>5</v>
      </c>
      <c r="H280" t="str">
        <f>TEXT(calls[[#This Row],[Date of Call]],"DDDD")</f>
        <v>Sunday</v>
      </c>
      <c r="I280">
        <f>ROUND(calls[[#This Row],[Satisfaction Rating]],0)</f>
        <v>5</v>
      </c>
      <c r="N280" t="str" cm="1">
        <f t="array" ref="N280">_xlfn.IFS(_xlfn.SINGLE(calls[Duration])&lt;30,"UNDER 30 MINS",_xlfn.SINGLE(calls[Duration])&lt;60,"30 T0 60 MINS",_xlfn.SINGLE(calls[Duration])&lt;120,"1 TO 2 HRS",TRUE,"ABOVE 2 HRS")</f>
        <v>1 TO 2 HRS</v>
      </c>
    </row>
    <row r="281" spans="1:14" x14ac:dyDescent="0.3">
      <c r="A281" t="s">
        <v>315</v>
      </c>
      <c r="B281" t="s">
        <v>50</v>
      </c>
      <c r="C281">
        <v>75</v>
      </c>
      <c r="D281" t="s">
        <v>23</v>
      </c>
      <c r="E281" s="1">
        <v>45011</v>
      </c>
      <c r="F281">
        <v>135</v>
      </c>
      <c r="G281">
        <v>4.7</v>
      </c>
      <c r="H281" t="str">
        <f>TEXT(calls[[#This Row],[Date of Call]],"DDDD")</f>
        <v>Sunday</v>
      </c>
      <c r="I281">
        <f>ROUND(calls[[#This Row],[Satisfaction Rating]],0)</f>
        <v>5</v>
      </c>
      <c r="N281" t="str" cm="1">
        <f t="array" ref="N281">_xlfn.IFS(_xlfn.SINGLE(calls[Duration])&lt;30,"UNDER 30 MINS",_xlfn.SINGLE(calls[Duration])&lt;60,"30 T0 60 MINS",_xlfn.SINGLE(calls[Duration])&lt;120,"1 TO 2 HRS",TRUE,"ABOVE 2 HRS")</f>
        <v>1 TO 2 HRS</v>
      </c>
    </row>
    <row r="282" spans="1:14" x14ac:dyDescent="0.3">
      <c r="A282" t="s">
        <v>316</v>
      </c>
      <c r="B282" t="s">
        <v>18</v>
      </c>
      <c r="C282">
        <v>103</v>
      </c>
      <c r="D282" t="s">
        <v>13</v>
      </c>
      <c r="E282" s="1">
        <v>45011</v>
      </c>
      <c r="F282">
        <v>42</v>
      </c>
      <c r="G282">
        <v>2.8</v>
      </c>
      <c r="H282" t="str">
        <f>TEXT(calls[[#This Row],[Date of Call]],"DDDD")</f>
        <v>Sunday</v>
      </c>
      <c r="I282">
        <f>ROUND(calls[[#This Row],[Satisfaction Rating]],0)</f>
        <v>3</v>
      </c>
      <c r="N282" t="str" cm="1">
        <f t="array" ref="N282">_xlfn.IFS(_xlfn.SINGLE(calls[Duration])&lt;30,"UNDER 30 MINS",_xlfn.SINGLE(calls[Duration])&lt;60,"30 T0 60 MINS",_xlfn.SINGLE(calls[Duration])&lt;120,"1 TO 2 HRS",TRUE,"ABOVE 2 HRS")</f>
        <v>1 TO 2 HRS</v>
      </c>
    </row>
    <row r="283" spans="1:14" x14ac:dyDescent="0.3">
      <c r="A283" t="s">
        <v>317</v>
      </c>
      <c r="B283" t="s">
        <v>31</v>
      </c>
      <c r="C283">
        <v>116</v>
      </c>
      <c r="D283" t="s">
        <v>36</v>
      </c>
      <c r="E283" s="1">
        <v>45012</v>
      </c>
      <c r="F283">
        <v>63</v>
      </c>
      <c r="G283">
        <v>3.4</v>
      </c>
      <c r="H283" t="str">
        <f>TEXT(calls[[#This Row],[Date of Call]],"DDDD")</f>
        <v>Monday</v>
      </c>
      <c r="I283">
        <f>ROUND(calls[[#This Row],[Satisfaction Rating]],0)</f>
        <v>3</v>
      </c>
      <c r="N283" t="str" cm="1">
        <f t="array" ref="N283">_xlfn.IFS(_xlfn.SINGLE(calls[Duration])&lt;30,"UNDER 30 MINS",_xlfn.SINGLE(calls[Duration])&lt;60,"30 T0 60 MINS",_xlfn.SINGLE(calls[Duration])&lt;120,"1 TO 2 HRS",TRUE,"ABOVE 2 HRS")</f>
        <v>1 TO 2 HRS</v>
      </c>
    </row>
    <row r="284" spans="1:14" x14ac:dyDescent="0.3">
      <c r="A284" t="s">
        <v>318</v>
      </c>
      <c r="B284" t="s">
        <v>33</v>
      </c>
      <c r="C284">
        <v>61</v>
      </c>
      <c r="D284" t="s">
        <v>29</v>
      </c>
      <c r="E284" s="1">
        <v>45012</v>
      </c>
      <c r="F284">
        <v>140</v>
      </c>
      <c r="G284">
        <v>1.8</v>
      </c>
      <c r="H284" t="str">
        <f>TEXT(calls[[#This Row],[Date of Call]],"DDDD")</f>
        <v>Monday</v>
      </c>
      <c r="I284">
        <f>ROUND(calls[[#This Row],[Satisfaction Rating]],0)</f>
        <v>2</v>
      </c>
      <c r="N284" t="str" cm="1">
        <f t="array" ref="N284">_xlfn.IFS(_xlfn.SINGLE(calls[Duration])&lt;30,"UNDER 30 MINS",_xlfn.SINGLE(calls[Duration])&lt;60,"30 T0 60 MINS",_xlfn.SINGLE(calls[Duration])&lt;120,"1 TO 2 HRS",TRUE,"ABOVE 2 HRS")</f>
        <v>1 TO 2 HRS</v>
      </c>
    </row>
    <row r="285" spans="1:14" x14ac:dyDescent="0.3">
      <c r="A285" t="s">
        <v>319</v>
      </c>
      <c r="B285" t="s">
        <v>46</v>
      </c>
      <c r="C285">
        <v>126</v>
      </c>
      <c r="D285" t="s">
        <v>23</v>
      </c>
      <c r="E285" s="1">
        <v>45012</v>
      </c>
      <c r="F285">
        <v>128</v>
      </c>
      <c r="G285">
        <v>4.2</v>
      </c>
      <c r="H285" t="str">
        <f>TEXT(calls[[#This Row],[Date of Call]],"DDDD")</f>
        <v>Monday</v>
      </c>
      <c r="I285">
        <f>ROUND(calls[[#This Row],[Satisfaction Rating]],0)</f>
        <v>4</v>
      </c>
      <c r="N285" t="str" cm="1">
        <f t="array" ref="N285">_xlfn.IFS(_xlfn.SINGLE(calls[Duration])&lt;30,"UNDER 30 MINS",_xlfn.SINGLE(calls[Duration])&lt;60,"30 T0 60 MINS",_xlfn.SINGLE(calls[Duration])&lt;120,"1 TO 2 HRS",TRUE,"ABOVE 2 HRS")</f>
        <v>ABOVE 2 HRS</v>
      </c>
    </row>
    <row r="286" spans="1:14" x14ac:dyDescent="0.3">
      <c r="A286" t="s">
        <v>320</v>
      </c>
      <c r="B286" t="s">
        <v>19</v>
      </c>
      <c r="C286">
        <v>141</v>
      </c>
      <c r="D286" t="s">
        <v>42</v>
      </c>
      <c r="E286" s="1">
        <v>45012</v>
      </c>
      <c r="F286">
        <v>80</v>
      </c>
      <c r="G286">
        <v>4.4000000000000004</v>
      </c>
      <c r="H286" t="str">
        <f>TEXT(calls[[#This Row],[Date of Call]],"DDDD")</f>
        <v>Monday</v>
      </c>
      <c r="I286">
        <f>ROUND(calls[[#This Row],[Satisfaction Rating]],0)</f>
        <v>4</v>
      </c>
      <c r="N286" t="str" cm="1">
        <f t="array" ref="N286">_xlfn.IFS(_xlfn.SINGLE(calls[Duration])&lt;30,"UNDER 30 MINS",_xlfn.SINGLE(calls[Duration])&lt;60,"30 T0 60 MINS",_xlfn.SINGLE(calls[Duration])&lt;120,"1 TO 2 HRS",TRUE,"ABOVE 2 HRS")</f>
        <v>ABOVE 2 HRS</v>
      </c>
    </row>
    <row r="287" spans="1:14" x14ac:dyDescent="0.3">
      <c r="A287" t="s">
        <v>321</v>
      </c>
      <c r="B287" t="s">
        <v>28</v>
      </c>
      <c r="C287">
        <v>95</v>
      </c>
      <c r="D287" t="s">
        <v>36</v>
      </c>
      <c r="E287" s="1">
        <v>45012</v>
      </c>
      <c r="F287">
        <v>28</v>
      </c>
      <c r="G287">
        <v>2.7</v>
      </c>
      <c r="H287" t="str">
        <f>TEXT(calls[[#This Row],[Date of Call]],"DDDD")</f>
        <v>Monday</v>
      </c>
      <c r="I287">
        <f>ROUND(calls[[#This Row],[Satisfaction Rating]],0)</f>
        <v>3</v>
      </c>
      <c r="N287" t="str" cm="1">
        <f t="array" ref="N287">_xlfn.IFS(_xlfn.SINGLE(calls[Duration])&lt;30,"UNDER 30 MINS",_xlfn.SINGLE(calls[Duration])&lt;60,"30 T0 60 MINS",_xlfn.SINGLE(calls[Duration])&lt;120,"1 TO 2 HRS",TRUE,"ABOVE 2 HRS")</f>
        <v>1 TO 2 HRS</v>
      </c>
    </row>
    <row r="288" spans="1:14" x14ac:dyDescent="0.3">
      <c r="A288" t="s">
        <v>322</v>
      </c>
      <c r="B288" t="s">
        <v>50</v>
      </c>
      <c r="C288">
        <v>39</v>
      </c>
      <c r="D288" t="s">
        <v>29</v>
      </c>
      <c r="E288" s="1">
        <v>45013</v>
      </c>
      <c r="F288">
        <v>81</v>
      </c>
      <c r="G288">
        <v>5</v>
      </c>
      <c r="H288" t="str">
        <f>TEXT(calls[[#This Row],[Date of Call]],"DDDD")</f>
        <v>Tuesday</v>
      </c>
      <c r="I288">
        <f>ROUND(calls[[#This Row],[Satisfaction Rating]],0)</f>
        <v>5</v>
      </c>
      <c r="N288" t="str" cm="1">
        <f t="array" ref="N288">_xlfn.IFS(_xlfn.SINGLE(calls[Duration])&lt;30,"UNDER 30 MINS",_xlfn.SINGLE(calls[Duration])&lt;60,"30 T0 60 MINS",_xlfn.SINGLE(calls[Duration])&lt;120,"1 TO 2 HRS",TRUE,"ABOVE 2 HRS")</f>
        <v>30 T0 60 MINS</v>
      </c>
    </row>
    <row r="289" spans="1:14" x14ac:dyDescent="0.3">
      <c r="A289" t="s">
        <v>323</v>
      </c>
      <c r="B289" t="s">
        <v>18</v>
      </c>
      <c r="C289">
        <v>127</v>
      </c>
      <c r="D289" t="s">
        <v>23</v>
      </c>
      <c r="E289" s="1">
        <v>45013</v>
      </c>
      <c r="F289">
        <v>99</v>
      </c>
      <c r="G289">
        <v>3.9</v>
      </c>
      <c r="H289" t="str">
        <f>TEXT(calls[[#This Row],[Date of Call]],"DDDD")</f>
        <v>Tuesday</v>
      </c>
      <c r="I289">
        <f>ROUND(calls[[#This Row],[Satisfaction Rating]],0)</f>
        <v>4</v>
      </c>
      <c r="N289" t="str" cm="1">
        <f t="array" ref="N289">_xlfn.IFS(_xlfn.SINGLE(calls[Duration])&lt;30,"UNDER 30 MINS",_xlfn.SINGLE(calls[Duration])&lt;60,"30 T0 60 MINS",_xlfn.SINGLE(calls[Duration])&lt;120,"1 TO 2 HRS",TRUE,"ABOVE 2 HRS")</f>
        <v>ABOVE 2 HRS</v>
      </c>
    </row>
    <row r="290" spans="1:14" x14ac:dyDescent="0.3">
      <c r="A290" t="s">
        <v>324</v>
      </c>
      <c r="B290" t="s">
        <v>33</v>
      </c>
      <c r="C290">
        <v>78</v>
      </c>
      <c r="D290" t="s">
        <v>23</v>
      </c>
      <c r="E290" s="1">
        <v>45013</v>
      </c>
      <c r="F290">
        <v>43</v>
      </c>
      <c r="G290">
        <v>3.8</v>
      </c>
      <c r="H290" t="str">
        <f>TEXT(calls[[#This Row],[Date of Call]],"DDDD")</f>
        <v>Tuesday</v>
      </c>
      <c r="I290">
        <f>ROUND(calls[[#This Row],[Satisfaction Rating]],0)</f>
        <v>4</v>
      </c>
      <c r="N290" t="str" cm="1">
        <f t="array" ref="N290">_xlfn.IFS(_xlfn.SINGLE(calls[Duration])&lt;30,"UNDER 30 MINS",_xlfn.SINGLE(calls[Duration])&lt;60,"30 T0 60 MINS",_xlfn.SINGLE(calls[Duration])&lt;120,"1 TO 2 HRS",TRUE,"ABOVE 2 HRS")</f>
        <v>1 TO 2 HRS</v>
      </c>
    </row>
    <row r="291" spans="1:14" x14ac:dyDescent="0.3">
      <c r="A291" t="s">
        <v>325</v>
      </c>
      <c r="B291" t="s">
        <v>45</v>
      </c>
      <c r="C291">
        <v>40</v>
      </c>
      <c r="D291" t="s">
        <v>23</v>
      </c>
      <c r="E291" s="1">
        <v>45013</v>
      </c>
      <c r="F291">
        <v>34</v>
      </c>
      <c r="G291">
        <v>4.5999999999999996</v>
      </c>
      <c r="H291" t="str">
        <f>TEXT(calls[[#This Row],[Date of Call]],"DDDD")</f>
        <v>Tuesday</v>
      </c>
      <c r="I291">
        <f>ROUND(calls[[#This Row],[Satisfaction Rating]],0)</f>
        <v>5</v>
      </c>
      <c r="N291" t="str" cm="1">
        <f t="array" ref="N291">_xlfn.IFS(_xlfn.SINGLE(calls[Duration])&lt;30,"UNDER 30 MINS",_xlfn.SINGLE(calls[Duration])&lt;60,"30 T0 60 MINS",_xlfn.SINGLE(calls[Duration])&lt;120,"1 TO 2 HRS",TRUE,"ABOVE 2 HRS")</f>
        <v>30 T0 60 MINS</v>
      </c>
    </row>
    <row r="292" spans="1:14" x14ac:dyDescent="0.3">
      <c r="A292" t="s">
        <v>326</v>
      </c>
      <c r="B292" t="s">
        <v>33</v>
      </c>
      <c r="C292">
        <v>56</v>
      </c>
      <c r="D292" t="s">
        <v>29</v>
      </c>
      <c r="E292" s="1">
        <v>45013</v>
      </c>
      <c r="F292">
        <v>225</v>
      </c>
      <c r="G292">
        <v>4.5999999999999996</v>
      </c>
      <c r="H292" t="str">
        <f>TEXT(calls[[#This Row],[Date of Call]],"DDDD")</f>
        <v>Tuesday</v>
      </c>
      <c r="I292">
        <f>ROUND(calls[[#This Row],[Satisfaction Rating]],0)</f>
        <v>5</v>
      </c>
      <c r="N292" t="str" cm="1">
        <f t="array" ref="N292">_xlfn.IFS(_xlfn.SINGLE(calls[Duration])&lt;30,"UNDER 30 MINS",_xlfn.SINGLE(calls[Duration])&lt;60,"30 T0 60 MINS",_xlfn.SINGLE(calls[Duration])&lt;120,"1 TO 2 HRS",TRUE,"ABOVE 2 HRS")</f>
        <v>30 T0 60 MINS</v>
      </c>
    </row>
    <row r="293" spans="1:14" x14ac:dyDescent="0.3">
      <c r="A293" t="s">
        <v>327</v>
      </c>
      <c r="B293" t="s">
        <v>50</v>
      </c>
      <c r="C293">
        <v>59</v>
      </c>
      <c r="D293" t="s">
        <v>42</v>
      </c>
      <c r="E293" s="1">
        <v>45013</v>
      </c>
      <c r="F293">
        <v>210</v>
      </c>
      <c r="G293">
        <v>4.5</v>
      </c>
      <c r="H293" t="str">
        <f>TEXT(calls[[#This Row],[Date of Call]],"DDDD")</f>
        <v>Tuesday</v>
      </c>
      <c r="I293">
        <f>ROUND(calls[[#This Row],[Satisfaction Rating]],0)</f>
        <v>5</v>
      </c>
      <c r="N293" t="str" cm="1">
        <f t="array" ref="N293">_xlfn.IFS(_xlfn.SINGLE(calls[Duration])&lt;30,"UNDER 30 MINS",_xlfn.SINGLE(calls[Duration])&lt;60,"30 T0 60 MINS",_xlfn.SINGLE(calls[Duration])&lt;120,"1 TO 2 HRS",TRUE,"ABOVE 2 HRS")</f>
        <v>30 T0 60 MINS</v>
      </c>
    </row>
    <row r="294" spans="1:14" x14ac:dyDescent="0.3">
      <c r="A294" t="s">
        <v>328</v>
      </c>
      <c r="B294" t="s">
        <v>46</v>
      </c>
      <c r="C294">
        <v>30</v>
      </c>
      <c r="D294" t="s">
        <v>23</v>
      </c>
      <c r="E294" s="1">
        <v>45013</v>
      </c>
      <c r="F294">
        <v>168</v>
      </c>
      <c r="G294">
        <v>4.2</v>
      </c>
      <c r="H294" t="str">
        <f>TEXT(calls[[#This Row],[Date of Call]],"DDDD")</f>
        <v>Tuesday</v>
      </c>
      <c r="I294">
        <f>ROUND(calls[[#This Row],[Satisfaction Rating]],0)</f>
        <v>4</v>
      </c>
      <c r="N294" t="str" cm="1">
        <f t="array" ref="N294">_xlfn.IFS(_xlfn.SINGLE(calls[Duration])&lt;30,"UNDER 30 MINS",_xlfn.SINGLE(calls[Duration])&lt;60,"30 T0 60 MINS",_xlfn.SINGLE(calls[Duration])&lt;120,"1 TO 2 HRS",TRUE,"ABOVE 2 HRS")</f>
        <v>30 T0 60 MINS</v>
      </c>
    </row>
    <row r="295" spans="1:14" x14ac:dyDescent="0.3">
      <c r="A295" t="s">
        <v>329</v>
      </c>
      <c r="B295" t="s">
        <v>45</v>
      </c>
      <c r="C295">
        <v>63</v>
      </c>
      <c r="D295" t="s">
        <v>13</v>
      </c>
      <c r="E295" s="1">
        <v>45014</v>
      </c>
      <c r="F295">
        <v>82</v>
      </c>
      <c r="G295">
        <v>4.5</v>
      </c>
      <c r="H295" t="str">
        <f>TEXT(calls[[#This Row],[Date of Call]],"DDDD")</f>
        <v>Wednesday</v>
      </c>
      <c r="I295">
        <f>ROUND(calls[[#This Row],[Satisfaction Rating]],0)</f>
        <v>5</v>
      </c>
      <c r="N295" t="str" cm="1">
        <f t="array" ref="N295">_xlfn.IFS(_xlfn.SINGLE(calls[Duration])&lt;30,"UNDER 30 MINS",_xlfn.SINGLE(calls[Duration])&lt;60,"30 T0 60 MINS",_xlfn.SINGLE(calls[Duration])&lt;120,"1 TO 2 HRS",TRUE,"ABOVE 2 HRS")</f>
        <v>1 TO 2 HRS</v>
      </c>
    </row>
    <row r="296" spans="1:14" x14ac:dyDescent="0.3">
      <c r="A296" t="s">
        <v>330</v>
      </c>
      <c r="B296" t="s">
        <v>22</v>
      </c>
      <c r="C296">
        <v>56</v>
      </c>
      <c r="D296" t="s">
        <v>36</v>
      </c>
      <c r="E296" s="1">
        <v>45014</v>
      </c>
      <c r="F296">
        <v>88</v>
      </c>
      <c r="G296">
        <v>4.0999999999999996</v>
      </c>
      <c r="H296" t="str">
        <f>TEXT(calls[[#This Row],[Date of Call]],"DDDD")</f>
        <v>Wednesday</v>
      </c>
      <c r="I296">
        <f>ROUND(calls[[#This Row],[Satisfaction Rating]],0)</f>
        <v>4</v>
      </c>
      <c r="N296" t="str" cm="1">
        <f t="array" ref="N296">_xlfn.IFS(_xlfn.SINGLE(calls[Duration])&lt;30,"UNDER 30 MINS",_xlfn.SINGLE(calls[Duration])&lt;60,"30 T0 60 MINS",_xlfn.SINGLE(calls[Duration])&lt;120,"1 TO 2 HRS",TRUE,"ABOVE 2 HRS")</f>
        <v>30 T0 60 MINS</v>
      </c>
    </row>
    <row r="297" spans="1:14" x14ac:dyDescent="0.3">
      <c r="A297" t="s">
        <v>331</v>
      </c>
      <c r="B297" t="s">
        <v>37</v>
      </c>
      <c r="C297">
        <v>95</v>
      </c>
      <c r="D297" t="s">
        <v>13</v>
      </c>
      <c r="E297" s="1">
        <v>45014</v>
      </c>
      <c r="F297">
        <v>111</v>
      </c>
      <c r="G297">
        <v>3.3</v>
      </c>
      <c r="H297" t="str">
        <f>TEXT(calls[[#This Row],[Date of Call]],"DDDD")</f>
        <v>Wednesday</v>
      </c>
      <c r="I297">
        <f>ROUND(calls[[#This Row],[Satisfaction Rating]],0)</f>
        <v>3</v>
      </c>
      <c r="N297" t="str" cm="1">
        <f t="array" ref="N297">_xlfn.IFS(_xlfn.SINGLE(calls[Duration])&lt;30,"UNDER 30 MINS",_xlfn.SINGLE(calls[Duration])&lt;60,"30 T0 60 MINS",_xlfn.SINGLE(calls[Duration])&lt;120,"1 TO 2 HRS",TRUE,"ABOVE 2 HRS")</f>
        <v>1 TO 2 HRS</v>
      </c>
    </row>
    <row r="298" spans="1:14" x14ac:dyDescent="0.3">
      <c r="A298" t="s">
        <v>332</v>
      </c>
      <c r="B298" t="s">
        <v>14</v>
      </c>
      <c r="C298">
        <v>128</v>
      </c>
      <c r="D298" t="s">
        <v>42</v>
      </c>
      <c r="E298" s="1">
        <v>45014</v>
      </c>
      <c r="F298">
        <v>60</v>
      </c>
      <c r="G298">
        <v>3.8</v>
      </c>
      <c r="H298" t="str">
        <f>TEXT(calls[[#This Row],[Date of Call]],"DDDD")</f>
        <v>Wednesday</v>
      </c>
      <c r="I298">
        <f>ROUND(calls[[#This Row],[Satisfaction Rating]],0)</f>
        <v>4</v>
      </c>
      <c r="N298" t="str" cm="1">
        <f t="array" ref="N298">_xlfn.IFS(_xlfn.SINGLE(calls[Duration])&lt;30,"UNDER 30 MINS",_xlfn.SINGLE(calls[Duration])&lt;60,"30 T0 60 MINS",_xlfn.SINGLE(calls[Duration])&lt;120,"1 TO 2 HRS",TRUE,"ABOVE 2 HRS")</f>
        <v>ABOVE 2 HRS</v>
      </c>
    </row>
    <row r="299" spans="1:14" x14ac:dyDescent="0.3">
      <c r="A299" t="s">
        <v>333</v>
      </c>
      <c r="B299" t="s">
        <v>28</v>
      </c>
      <c r="C299">
        <v>49</v>
      </c>
      <c r="D299" t="s">
        <v>13</v>
      </c>
      <c r="E299" s="1">
        <v>45014</v>
      </c>
      <c r="F299">
        <v>80</v>
      </c>
      <c r="G299">
        <v>3</v>
      </c>
      <c r="H299" t="str">
        <f>TEXT(calls[[#This Row],[Date of Call]],"DDDD")</f>
        <v>Wednesday</v>
      </c>
      <c r="I299">
        <f>ROUND(calls[[#This Row],[Satisfaction Rating]],0)</f>
        <v>3</v>
      </c>
      <c r="N299" t="str" cm="1">
        <f t="array" ref="N299">_xlfn.IFS(_xlfn.SINGLE(calls[Duration])&lt;30,"UNDER 30 MINS",_xlfn.SINGLE(calls[Duration])&lt;60,"30 T0 60 MINS",_xlfn.SINGLE(calls[Duration])&lt;120,"1 TO 2 HRS",TRUE,"ABOVE 2 HRS")</f>
        <v>30 T0 60 MINS</v>
      </c>
    </row>
    <row r="300" spans="1:14" x14ac:dyDescent="0.3">
      <c r="A300" t="s">
        <v>334</v>
      </c>
      <c r="B300" t="s">
        <v>14</v>
      </c>
      <c r="C300">
        <v>89</v>
      </c>
      <c r="D300" t="s">
        <v>29</v>
      </c>
      <c r="E300" s="1">
        <v>45016</v>
      </c>
      <c r="F300">
        <v>90</v>
      </c>
      <c r="G300">
        <v>4.5999999999999996</v>
      </c>
      <c r="H300" t="str">
        <f>TEXT(calls[[#This Row],[Date of Call]],"DDDD")</f>
        <v>Friday</v>
      </c>
      <c r="I300">
        <f>ROUND(calls[[#This Row],[Satisfaction Rating]],0)</f>
        <v>5</v>
      </c>
      <c r="N300" t="str" cm="1">
        <f t="array" ref="N300">_xlfn.IFS(_xlfn.SINGLE(calls[Duration])&lt;30,"UNDER 30 MINS",_xlfn.SINGLE(calls[Duration])&lt;60,"30 T0 60 MINS",_xlfn.SINGLE(calls[Duration])&lt;120,"1 TO 2 HRS",TRUE,"ABOVE 2 HRS")</f>
        <v>1 TO 2 HRS</v>
      </c>
    </row>
    <row r="301" spans="1:14" x14ac:dyDescent="0.3">
      <c r="A301" t="s">
        <v>335</v>
      </c>
      <c r="B301" t="s">
        <v>39</v>
      </c>
      <c r="C301">
        <v>87</v>
      </c>
      <c r="D301" t="s">
        <v>13</v>
      </c>
      <c r="E301" s="1">
        <v>45016</v>
      </c>
      <c r="F301">
        <v>225</v>
      </c>
      <c r="G301">
        <v>2.9</v>
      </c>
      <c r="H301" t="str">
        <f>TEXT(calls[[#This Row],[Date of Call]],"DDDD")</f>
        <v>Friday</v>
      </c>
      <c r="I301">
        <f>ROUND(calls[[#This Row],[Satisfaction Rating]],0)</f>
        <v>3</v>
      </c>
      <c r="N301" t="str" cm="1">
        <f t="array" ref="N301">_xlfn.IFS(_xlfn.SINGLE(calls[Duration])&lt;30,"UNDER 30 MINS",_xlfn.SINGLE(calls[Duration])&lt;60,"30 T0 60 MINS",_xlfn.SINGLE(calls[Duration])&lt;120,"1 TO 2 HRS",TRUE,"ABOVE 2 HRS")</f>
        <v>1 TO 2 HRS</v>
      </c>
    </row>
    <row r="302" spans="1:14" x14ac:dyDescent="0.3">
      <c r="A302" t="s">
        <v>336</v>
      </c>
      <c r="B302" t="s">
        <v>12</v>
      </c>
      <c r="C302">
        <v>60</v>
      </c>
      <c r="D302" t="s">
        <v>23</v>
      </c>
      <c r="E302" s="1">
        <v>45017</v>
      </c>
      <c r="F302">
        <v>215</v>
      </c>
      <c r="G302">
        <v>3.2</v>
      </c>
      <c r="H302" t="str">
        <f>TEXT(calls[[#This Row],[Date of Call]],"DDDD")</f>
        <v>Saturday</v>
      </c>
      <c r="I302">
        <f>ROUND(calls[[#This Row],[Satisfaction Rating]],0)</f>
        <v>3</v>
      </c>
      <c r="N302" t="str" cm="1">
        <f t="array" ref="N302">_xlfn.IFS(_xlfn.SINGLE(calls[Duration])&lt;30,"UNDER 30 MINS",_xlfn.SINGLE(calls[Duration])&lt;60,"30 T0 60 MINS",_xlfn.SINGLE(calls[Duration])&lt;120,"1 TO 2 HRS",TRUE,"ABOVE 2 HRS")</f>
        <v>1 TO 2 HRS</v>
      </c>
    </row>
    <row r="303" spans="1:14" x14ac:dyDescent="0.3">
      <c r="A303" t="s">
        <v>337</v>
      </c>
      <c r="B303" t="s">
        <v>26</v>
      </c>
      <c r="C303">
        <v>42</v>
      </c>
      <c r="D303" t="s">
        <v>29</v>
      </c>
      <c r="E303" s="1">
        <v>45017</v>
      </c>
      <c r="F303">
        <v>45</v>
      </c>
      <c r="G303">
        <v>1.5</v>
      </c>
      <c r="H303" t="str">
        <f>TEXT(calls[[#This Row],[Date of Call]],"DDDD")</f>
        <v>Saturday</v>
      </c>
      <c r="I303">
        <f>ROUND(calls[[#This Row],[Satisfaction Rating]],0)</f>
        <v>2</v>
      </c>
      <c r="N303" t="str" cm="1">
        <f t="array" ref="N303">_xlfn.IFS(_xlfn.SINGLE(calls[Duration])&lt;30,"UNDER 30 MINS",_xlfn.SINGLE(calls[Duration])&lt;60,"30 T0 60 MINS",_xlfn.SINGLE(calls[Duration])&lt;120,"1 TO 2 HRS",TRUE,"ABOVE 2 HRS")</f>
        <v>30 T0 60 MINS</v>
      </c>
    </row>
    <row r="304" spans="1:14" x14ac:dyDescent="0.3">
      <c r="A304" t="s">
        <v>338</v>
      </c>
      <c r="B304" t="s">
        <v>41</v>
      </c>
      <c r="C304">
        <v>99</v>
      </c>
      <c r="D304" t="s">
        <v>23</v>
      </c>
      <c r="E304" s="1">
        <v>45017</v>
      </c>
      <c r="F304">
        <v>74</v>
      </c>
      <c r="G304">
        <v>4</v>
      </c>
      <c r="H304" t="str">
        <f>TEXT(calls[[#This Row],[Date of Call]],"DDDD")</f>
        <v>Saturday</v>
      </c>
      <c r="I304">
        <f>ROUND(calls[[#This Row],[Satisfaction Rating]],0)</f>
        <v>4</v>
      </c>
      <c r="N304" t="str" cm="1">
        <f t="array" ref="N304">_xlfn.IFS(_xlfn.SINGLE(calls[Duration])&lt;30,"UNDER 30 MINS",_xlfn.SINGLE(calls[Duration])&lt;60,"30 T0 60 MINS",_xlfn.SINGLE(calls[Duration])&lt;120,"1 TO 2 HRS",TRUE,"ABOVE 2 HRS")</f>
        <v>1 TO 2 HRS</v>
      </c>
    </row>
    <row r="305" spans="1:14" x14ac:dyDescent="0.3">
      <c r="A305" t="s">
        <v>339</v>
      </c>
      <c r="B305" t="s">
        <v>22</v>
      </c>
      <c r="C305">
        <v>20</v>
      </c>
      <c r="D305" t="s">
        <v>29</v>
      </c>
      <c r="E305" s="1">
        <v>45017</v>
      </c>
      <c r="F305">
        <v>60</v>
      </c>
      <c r="G305">
        <v>3.6</v>
      </c>
      <c r="H305" t="str">
        <f>TEXT(calls[[#This Row],[Date of Call]],"DDDD")</f>
        <v>Saturday</v>
      </c>
      <c r="I305">
        <f>ROUND(calls[[#This Row],[Satisfaction Rating]],0)</f>
        <v>4</v>
      </c>
      <c r="N305" t="str" cm="1">
        <f t="array" ref="N305">_xlfn.IFS(_xlfn.SINGLE(calls[Duration])&lt;30,"UNDER 30 MINS",_xlfn.SINGLE(calls[Duration])&lt;60,"30 T0 60 MINS",_xlfn.SINGLE(calls[Duration])&lt;120,"1 TO 2 HRS",TRUE,"ABOVE 2 HRS")</f>
        <v>UNDER 30 MINS</v>
      </c>
    </row>
    <row r="306" spans="1:14" x14ac:dyDescent="0.3">
      <c r="A306" t="s">
        <v>340</v>
      </c>
      <c r="B306" t="s">
        <v>45</v>
      </c>
      <c r="C306">
        <v>65</v>
      </c>
      <c r="D306" t="s">
        <v>23</v>
      </c>
      <c r="E306" s="1">
        <v>45017</v>
      </c>
      <c r="F306">
        <v>64</v>
      </c>
      <c r="G306">
        <v>3.7</v>
      </c>
      <c r="H306" t="str">
        <f>TEXT(calls[[#This Row],[Date of Call]],"DDDD")</f>
        <v>Saturday</v>
      </c>
      <c r="I306">
        <f>ROUND(calls[[#This Row],[Satisfaction Rating]],0)</f>
        <v>4</v>
      </c>
      <c r="N306" t="str" cm="1">
        <f t="array" ref="N306">_xlfn.IFS(_xlfn.SINGLE(calls[Duration])&lt;30,"UNDER 30 MINS",_xlfn.SINGLE(calls[Duration])&lt;60,"30 T0 60 MINS",_xlfn.SINGLE(calls[Duration])&lt;120,"1 TO 2 HRS",TRUE,"ABOVE 2 HRS")</f>
        <v>1 TO 2 HRS</v>
      </c>
    </row>
    <row r="307" spans="1:14" x14ac:dyDescent="0.3">
      <c r="A307" t="s">
        <v>341</v>
      </c>
      <c r="B307" t="s">
        <v>46</v>
      </c>
      <c r="C307">
        <v>71</v>
      </c>
      <c r="D307" t="s">
        <v>13</v>
      </c>
      <c r="E307" s="1">
        <v>45018</v>
      </c>
      <c r="F307">
        <v>110</v>
      </c>
      <c r="G307">
        <v>4.8</v>
      </c>
      <c r="H307" t="str">
        <f>TEXT(calls[[#This Row],[Date of Call]],"DDDD")</f>
        <v>Sunday</v>
      </c>
      <c r="I307">
        <f>ROUND(calls[[#This Row],[Satisfaction Rating]],0)</f>
        <v>5</v>
      </c>
      <c r="N307" t="str" cm="1">
        <f t="array" ref="N307">_xlfn.IFS(_xlfn.SINGLE(calls[Duration])&lt;30,"UNDER 30 MINS",_xlfn.SINGLE(calls[Duration])&lt;60,"30 T0 60 MINS",_xlfn.SINGLE(calls[Duration])&lt;120,"1 TO 2 HRS",TRUE,"ABOVE 2 HRS")</f>
        <v>1 TO 2 HRS</v>
      </c>
    </row>
    <row r="308" spans="1:14" x14ac:dyDescent="0.3">
      <c r="A308" t="s">
        <v>342</v>
      </c>
      <c r="B308" t="s">
        <v>18</v>
      </c>
      <c r="C308">
        <v>95</v>
      </c>
      <c r="D308" t="s">
        <v>42</v>
      </c>
      <c r="E308" s="1">
        <v>45018</v>
      </c>
      <c r="F308">
        <v>52</v>
      </c>
      <c r="G308">
        <v>1.2</v>
      </c>
      <c r="H308" t="str">
        <f>TEXT(calls[[#This Row],[Date of Call]],"DDDD")</f>
        <v>Sunday</v>
      </c>
      <c r="I308">
        <f>ROUND(calls[[#This Row],[Satisfaction Rating]],0)</f>
        <v>1</v>
      </c>
      <c r="N308" t="str" cm="1">
        <f t="array" ref="N308">_xlfn.IFS(_xlfn.SINGLE(calls[Duration])&lt;30,"UNDER 30 MINS",_xlfn.SINGLE(calls[Duration])&lt;60,"30 T0 60 MINS",_xlfn.SINGLE(calls[Duration])&lt;120,"1 TO 2 HRS",TRUE,"ABOVE 2 HRS")</f>
        <v>1 TO 2 HRS</v>
      </c>
    </row>
    <row r="309" spans="1:14" x14ac:dyDescent="0.3">
      <c r="A309" t="s">
        <v>343</v>
      </c>
      <c r="B309" t="s">
        <v>22</v>
      </c>
      <c r="C309">
        <v>81</v>
      </c>
      <c r="D309" t="s">
        <v>36</v>
      </c>
      <c r="E309" s="1">
        <v>45019</v>
      </c>
      <c r="F309">
        <v>160</v>
      </c>
      <c r="G309">
        <v>4.7</v>
      </c>
      <c r="H309" t="str">
        <f>TEXT(calls[[#This Row],[Date of Call]],"DDDD")</f>
        <v>Monday</v>
      </c>
      <c r="I309">
        <f>ROUND(calls[[#This Row],[Satisfaction Rating]],0)</f>
        <v>5</v>
      </c>
      <c r="N309" t="str" cm="1">
        <f t="array" ref="N309">_xlfn.IFS(_xlfn.SINGLE(calls[Duration])&lt;30,"UNDER 30 MINS",_xlfn.SINGLE(calls[Duration])&lt;60,"30 T0 60 MINS",_xlfn.SINGLE(calls[Duration])&lt;120,"1 TO 2 HRS",TRUE,"ABOVE 2 HRS")</f>
        <v>1 TO 2 HRS</v>
      </c>
    </row>
    <row r="310" spans="1:14" x14ac:dyDescent="0.3">
      <c r="A310" t="s">
        <v>344</v>
      </c>
      <c r="B310" t="s">
        <v>31</v>
      </c>
      <c r="C310">
        <v>137</v>
      </c>
      <c r="D310" t="s">
        <v>36</v>
      </c>
      <c r="E310" s="1">
        <v>45019</v>
      </c>
      <c r="F310">
        <v>215</v>
      </c>
      <c r="G310">
        <v>4.7</v>
      </c>
      <c r="H310" t="str">
        <f>TEXT(calls[[#This Row],[Date of Call]],"DDDD")</f>
        <v>Monday</v>
      </c>
      <c r="I310">
        <f>ROUND(calls[[#This Row],[Satisfaction Rating]],0)</f>
        <v>5</v>
      </c>
      <c r="N310" t="str" cm="1">
        <f t="array" ref="N310">_xlfn.IFS(_xlfn.SINGLE(calls[Duration])&lt;30,"UNDER 30 MINS",_xlfn.SINGLE(calls[Duration])&lt;60,"30 T0 60 MINS",_xlfn.SINGLE(calls[Duration])&lt;120,"1 TO 2 HRS",TRUE,"ABOVE 2 HRS")</f>
        <v>ABOVE 2 HRS</v>
      </c>
    </row>
    <row r="311" spans="1:14" x14ac:dyDescent="0.3">
      <c r="A311" t="s">
        <v>345</v>
      </c>
      <c r="B311" t="s">
        <v>31</v>
      </c>
      <c r="C311">
        <v>40</v>
      </c>
      <c r="D311" t="s">
        <v>42</v>
      </c>
      <c r="E311" s="1">
        <v>45019</v>
      </c>
      <c r="F311">
        <v>220</v>
      </c>
      <c r="G311">
        <v>4.5</v>
      </c>
      <c r="H311" t="str">
        <f>TEXT(calls[[#This Row],[Date of Call]],"DDDD")</f>
        <v>Monday</v>
      </c>
      <c r="I311">
        <f>ROUND(calls[[#This Row],[Satisfaction Rating]],0)</f>
        <v>5</v>
      </c>
      <c r="N311" t="str" cm="1">
        <f t="array" ref="N311">_xlfn.IFS(_xlfn.SINGLE(calls[Duration])&lt;30,"UNDER 30 MINS",_xlfn.SINGLE(calls[Duration])&lt;60,"30 T0 60 MINS",_xlfn.SINGLE(calls[Duration])&lt;120,"1 TO 2 HRS",TRUE,"ABOVE 2 HRS")</f>
        <v>30 T0 60 MINS</v>
      </c>
    </row>
    <row r="312" spans="1:14" x14ac:dyDescent="0.3">
      <c r="A312" t="s">
        <v>346</v>
      </c>
      <c r="B312" t="s">
        <v>41</v>
      </c>
      <c r="C312">
        <v>111</v>
      </c>
      <c r="D312" t="s">
        <v>23</v>
      </c>
      <c r="E312" s="1">
        <v>45020</v>
      </c>
      <c r="F312">
        <v>175</v>
      </c>
      <c r="G312">
        <v>3.5</v>
      </c>
      <c r="H312" t="str">
        <f>TEXT(calls[[#This Row],[Date of Call]],"DDDD")</f>
        <v>Tuesday</v>
      </c>
      <c r="I312">
        <f>ROUND(calls[[#This Row],[Satisfaction Rating]],0)</f>
        <v>4</v>
      </c>
      <c r="N312" t="str" cm="1">
        <f t="array" ref="N312">_xlfn.IFS(_xlfn.SINGLE(calls[Duration])&lt;30,"UNDER 30 MINS",_xlfn.SINGLE(calls[Duration])&lt;60,"30 T0 60 MINS",_xlfn.SINGLE(calls[Duration])&lt;120,"1 TO 2 HRS",TRUE,"ABOVE 2 HRS")</f>
        <v>1 TO 2 HRS</v>
      </c>
    </row>
    <row r="313" spans="1:14" x14ac:dyDescent="0.3">
      <c r="A313" t="s">
        <v>347</v>
      </c>
      <c r="B313" t="s">
        <v>46</v>
      </c>
      <c r="C313">
        <v>106</v>
      </c>
      <c r="D313" t="s">
        <v>23</v>
      </c>
      <c r="E313" s="1">
        <v>45020</v>
      </c>
      <c r="F313">
        <v>145</v>
      </c>
      <c r="G313">
        <v>4.0999999999999996</v>
      </c>
      <c r="H313" t="str">
        <f>TEXT(calls[[#This Row],[Date of Call]],"DDDD")</f>
        <v>Tuesday</v>
      </c>
      <c r="I313">
        <f>ROUND(calls[[#This Row],[Satisfaction Rating]],0)</f>
        <v>4</v>
      </c>
      <c r="N313" t="str" cm="1">
        <f t="array" ref="N313">_xlfn.IFS(_xlfn.SINGLE(calls[Duration])&lt;30,"UNDER 30 MINS",_xlfn.SINGLE(calls[Duration])&lt;60,"30 T0 60 MINS",_xlfn.SINGLE(calls[Duration])&lt;120,"1 TO 2 HRS",TRUE,"ABOVE 2 HRS")</f>
        <v>1 TO 2 HRS</v>
      </c>
    </row>
    <row r="314" spans="1:14" x14ac:dyDescent="0.3">
      <c r="A314" t="s">
        <v>348</v>
      </c>
      <c r="B314" t="s">
        <v>26</v>
      </c>
      <c r="C314">
        <v>133</v>
      </c>
      <c r="D314" t="s">
        <v>29</v>
      </c>
      <c r="E314" s="1">
        <v>45020</v>
      </c>
      <c r="F314">
        <v>72</v>
      </c>
      <c r="G314">
        <v>4.4000000000000004</v>
      </c>
      <c r="H314" t="str">
        <f>TEXT(calls[[#This Row],[Date of Call]],"DDDD")</f>
        <v>Tuesday</v>
      </c>
      <c r="I314">
        <f>ROUND(calls[[#This Row],[Satisfaction Rating]],0)</f>
        <v>4</v>
      </c>
      <c r="N314" t="str" cm="1">
        <f t="array" ref="N314">_xlfn.IFS(_xlfn.SINGLE(calls[Duration])&lt;30,"UNDER 30 MINS",_xlfn.SINGLE(calls[Duration])&lt;60,"30 T0 60 MINS",_xlfn.SINGLE(calls[Duration])&lt;120,"1 TO 2 HRS",TRUE,"ABOVE 2 HRS")</f>
        <v>ABOVE 2 HRS</v>
      </c>
    </row>
    <row r="315" spans="1:14" x14ac:dyDescent="0.3">
      <c r="A315" t="s">
        <v>349</v>
      </c>
      <c r="B315" t="s">
        <v>33</v>
      </c>
      <c r="C315">
        <v>38</v>
      </c>
      <c r="D315" t="s">
        <v>23</v>
      </c>
      <c r="E315" s="1">
        <v>45021</v>
      </c>
      <c r="F315">
        <v>81</v>
      </c>
      <c r="G315">
        <v>3.6</v>
      </c>
      <c r="H315" t="str">
        <f>TEXT(calls[[#This Row],[Date of Call]],"DDDD")</f>
        <v>Wednesday</v>
      </c>
      <c r="I315">
        <f>ROUND(calls[[#This Row],[Satisfaction Rating]],0)</f>
        <v>4</v>
      </c>
      <c r="N315" t="str" cm="1">
        <f t="array" ref="N315">_xlfn.IFS(_xlfn.SINGLE(calls[Duration])&lt;30,"UNDER 30 MINS",_xlfn.SINGLE(calls[Duration])&lt;60,"30 T0 60 MINS",_xlfn.SINGLE(calls[Duration])&lt;120,"1 TO 2 HRS",TRUE,"ABOVE 2 HRS")</f>
        <v>30 T0 60 MINS</v>
      </c>
    </row>
    <row r="316" spans="1:14" x14ac:dyDescent="0.3">
      <c r="A316" t="s">
        <v>350</v>
      </c>
      <c r="B316" t="s">
        <v>50</v>
      </c>
      <c r="C316">
        <v>130</v>
      </c>
      <c r="D316" t="s">
        <v>42</v>
      </c>
      <c r="E316" s="1">
        <v>45021</v>
      </c>
      <c r="F316">
        <v>54</v>
      </c>
      <c r="G316">
        <v>4.0999999999999996</v>
      </c>
      <c r="H316" t="str">
        <f>TEXT(calls[[#This Row],[Date of Call]],"DDDD")</f>
        <v>Wednesday</v>
      </c>
      <c r="I316">
        <f>ROUND(calls[[#This Row],[Satisfaction Rating]],0)</f>
        <v>4</v>
      </c>
      <c r="N316" t="str" cm="1">
        <f t="array" ref="N316">_xlfn.IFS(_xlfn.SINGLE(calls[Duration])&lt;30,"UNDER 30 MINS",_xlfn.SINGLE(calls[Duration])&lt;60,"30 T0 60 MINS",_xlfn.SINGLE(calls[Duration])&lt;120,"1 TO 2 HRS",TRUE,"ABOVE 2 HRS")</f>
        <v>ABOVE 2 HRS</v>
      </c>
    </row>
    <row r="317" spans="1:14" x14ac:dyDescent="0.3">
      <c r="A317" t="s">
        <v>351</v>
      </c>
      <c r="B317" t="s">
        <v>45</v>
      </c>
      <c r="C317">
        <v>23</v>
      </c>
      <c r="D317" t="s">
        <v>29</v>
      </c>
      <c r="E317" s="1">
        <v>45021</v>
      </c>
      <c r="F317">
        <v>105</v>
      </c>
      <c r="G317">
        <v>4.8</v>
      </c>
      <c r="H317" t="str">
        <f>TEXT(calls[[#This Row],[Date of Call]],"DDDD")</f>
        <v>Wednesday</v>
      </c>
      <c r="I317">
        <f>ROUND(calls[[#This Row],[Satisfaction Rating]],0)</f>
        <v>5</v>
      </c>
      <c r="N317" t="str" cm="1">
        <f t="array" ref="N317">_xlfn.IFS(_xlfn.SINGLE(calls[Duration])&lt;30,"UNDER 30 MINS",_xlfn.SINGLE(calls[Duration])&lt;60,"30 T0 60 MINS",_xlfn.SINGLE(calls[Duration])&lt;120,"1 TO 2 HRS",TRUE,"ABOVE 2 HRS")</f>
        <v>UNDER 30 MINS</v>
      </c>
    </row>
    <row r="318" spans="1:14" x14ac:dyDescent="0.3">
      <c r="A318" t="s">
        <v>352</v>
      </c>
      <c r="B318" t="s">
        <v>50</v>
      </c>
      <c r="C318">
        <v>124</v>
      </c>
      <c r="D318" t="s">
        <v>23</v>
      </c>
      <c r="E318" s="1">
        <v>45022</v>
      </c>
      <c r="F318">
        <v>176</v>
      </c>
      <c r="G318">
        <v>3.9</v>
      </c>
      <c r="H318" t="str">
        <f>TEXT(calls[[#This Row],[Date of Call]],"DDDD")</f>
        <v>Thursday</v>
      </c>
      <c r="I318">
        <f>ROUND(calls[[#This Row],[Satisfaction Rating]],0)</f>
        <v>4</v>
      </c>
      <c r="N318" t="str" cm="1">
        <f t="array" ref="N318">_xlfn.IFS(_xlfn.SINGLE(calls[Duration])&lt;30,"UNDER 30 MINS",_xlfn.SINGLE(calls[Duration])&lt;60,"30 T0 60 MINS",_xlfn.SINGLE(calls[Duration])&lt;120,"1 TO 2 HRS",TRUE,"ABOVE 2 HRS")</f>
        <v>ABOVE 2 HRS</v>
      </c>
    </row>
    <row r="319" spans="1:14" x14ac:dyDescent="0.3">
      <c r="A319" t="s">
        <v>353</v>
      </c>
      <c r="B319" t="s">
        <v>22</v>
      </c>
      <c r="C319">
        <v>107</v>
      </c>
      <c r="D319" t="s">
        <v>23</v>
      </c>
      <c r="E319" s="1">
        <v>45022</v>
      </c>
      <c r="F319">
        <v>115</v>
      </c>
      <c r="G319">
        <v>3.8</v>
      </c>
      <c r="H319" t="str">
        <f>TEXT(calls[[#This Row],[Date of Call]],"DDDD")</f>
        <v>Thursday</v>
      </c>
      <c r="I319">
        <f>ROUND(calls[[#This Row],[Satisfaction Rating]],0)</f>
        <v>4</v>
      </c>
      <c r="N319" t="str" cm="1">
        <f t="array" ref="N319">_xlfn.IFS(_xlfn.SINGLE(calls[Duration])&lt;30,"UNDER 30 MINS",_xlfn.SINGLE(calls[Duration])&lt;60,"30 T0 60 MINS",_xlfn.SINGLE(calls[Duration])&lt;120,"1 TO 2 HRS",TRUE,"ABOVE 2 HRS")</f>
        <v>1 TO 2 HRS</v>
      </c>
    </row>
    <row r="320" spans="1:14" x14ac:dyDescent="0.3">
      <c r="A320" t="s">
        <v>354</v>
      </c>
      <c r="B320" t="s">
        <v>31</v>
      </c>
      <c r="C320">
        <v>60</v>
      </c>
      <c r="D320" t="s">
        <v>13</v>
      </c>
      <c r="E320" s="1">
        <v>45022</v>
      </c>
      <c r="F320">
        <v>116</v>
      </c>
      <c r="G320">
        <v>3.9</v>
      </c>
      <c r="H320" t="str">
        <f>TEXT(calls[[#This Row],[Date of Call]],"DDDD")</f>
        <v>Thursday</v>
      </c>
      <c r="I320">
        <f>ROUND(calls[[#This Row],[Satisfaction Rating]],0)</f>
        <v>4</v>
      </c>
      <c r="N320" t="str" cm="1">
        <f t="array" ref="N320">_xlfn.IFS(_xlfn.SINGLE(calls[Duration])&lt;30,"UNDER 30 MINS",_xlfn.SINGLE(calls[Duration])&lt;60,"30 T0 60 MINS",_xlfn.SINGLE(calls[Duration])&lt;120,"1 TO 2 HRS",TRUE,"ABOVE 2 HRS")</f>
        <v>1 TO 2 HRS</v>
      </c>
    </row>
    <row r="321" spans="1:14" x14ac:dyDescent="0.3">
      <c r="A321" t="s">
        <v>355</v>
      </c>
      <c r="B321" t="s">
        <v>31</v>
      </c>
      <c r="C321">
        <v>158</v>
      </c>
      <c r="D321" t="s">
        <v>42</v>
      </c>
      <c r="E321" s="1">
        <v>45022</v>
      </c>
      <c r="F321">
        <v>100</v>
      </c>
      <c r="G321">
        <v>4.0999999999999996</v>
      </c>
      <c r="H321" t="str">
        <f>TEXT(calls[[#This Row],[Date of Call]],"DDDD")</f>
        <v>Thursday</v>
      </c>
      <c r="I321">
        <f>ROUND(calls[[#This Row],[Satisfaction Rating]],0)</f>
        <v>4</v>
      </c>
      <c r="N321" t="str" cm="1">
        <f t="array" ref="N321">_xlfn.IFS(_xlfn.SINGLE(calls[Duration])&lt;30,"UNDER 30 MINS",_xlfn.SINGLE(calls[Duration])&lt;60,"30 T0 60 MINS",_xlfn.SINGLE(calls[Duration])&lt;120,"1 TO 2 HRS",TRUE,"ABOVE 2 HRS")</f>
        <v>ABOVE 2 HRS</v>
      </c>
    </row>
    <row r="322" spans="1:14" x14ac:dyDescent="0.3">
      <c r="A322" t="s">
        <v>356</v>
      </c>
      <c r="B322" t="s">
        <v>39</v>
      </c>
      <c r="C322">
        <v>110</v>
      </c>
      <c r="D322" t="s">
        <v>42</v>
      </c>
      <c r="E322" s="1">
        <v>45023</v>
      </c>
      <c r="F322">
        <v>36</v>
      </c>
      <c r="G322">
        <v>2.2000000000000002</v>
      </c>
      <c r="H322" t="str">
        <f>TEXT(calls[[#This Row],[Date of Call]],"DDDD")</f>
        <v>Friday</v>
      </c>
      <c r="I322">
        <f>ROUND(calls[[#This Row],[Satisfaction Rating]],0)</f>
        <v>2</v>
      </c>
      <c r="N322" t="str" cm="1">
        <f t="array" ref="N322">_xlfn.IFS(_xlfn.SINGLE(calls[Duration])&lt;30,"UNDER 30 MINS",_xlfn.SINGLE(calls[Duration])&lt;60,"30 T0 60 MINS",_xlfn.SINGLE(calls[Duration])&lt;120,"1 TO 2 HRS",TRUE,"ABOVE 2 HRS")</f>
        <v>1 TO 2 HRS</v>
      </c>
    </row>
    <row r="323" spans="1:14" x14ac:dyDescent="0.3">
      <c r="A323" t="s">
        <v>357</v>
      </c>
      <c r="B323" t="s">
        <v>14</v>
      </c>
      <c r="C323">
        <v>70</v>
      </c>
      <c r="D323" t="s">
        <v>42</v>
      </c>
      <c r="E323" s="1">
        <v>45023</v>
      </c>
      <c r="F323">
        <v>114</v>
      </c>
      <c r="G323">
        <v>5</v>
      </c>
      <c r="H323" t="str">
        <f>TEXT(calls[[#This Row],[Date of Call]],"DDDD")</f>
        <v>Friday</v>
      </c>
      <c r="I323">
        <f>ROUND(calls[[#This Row],[Satisfaction Rating]],0)</f>
        <v>5</v>
      </c>
      <c r="N323" t="str" cm="1">
        <f t="array" ref="N323">_xlfn.IFS(_xlfn.SINGLE(calls[Duration])&lt;30,"UNDER 30 MINS",_xlfn.SINGLE(calls[Duration])&lt;60,"30 T0 60 MINS",_xlfn.SINGLE(calls[Duration])&lt;120,"1 TO 2 HRS",TRUE,"ABOVE 2 HRS")</f>
        <v>1 TO 2 HRS</v>
      </c>
    </row>
    <row r="324" spans="1:14" x14ac:dyDescent="0.3">
      <c r="A324" t="s">
        <v>358</v>
      </c>
      <c r="B324" t="s">
        <v>14</v>
      </c>
      <c r="C324">
        <v>150</v>
      </c>
      <c r="D324" t="s">
        <v>13</v>
      </c>
      <c r="E324" s="1">
        <v>45023</v>
      </c>
      <c r="F324">
        <v>24</v>
      </c>
      <c r="G324">
        <v>3.8</v>
      </c>
      <c r="H324" t="str">
        <f>TEXT(calls[[#This Row],[Date of Call]],"DDDD")</f>
        <v>Friday</v>
      </c>
      <c r="I324">
        <f>ROUND(calls[[#This Row],[Satisfaction Rating]],0)</f>
        <v>4</v>
      </c>
      <c r="N324" t="str" cm="1">
        <f t="array" ref="N324">_xlfn.IFS(_xlfn.SINGLE(calls[Duration])&lt;30,"UNDER 30 MINS",_xlfn.SINGLE(calls[Duration])&lt;60,"30 T0 60 MINS",_xlfn.SINGLE(calls[Duration])&lt;120,"1 TO 2 HRS",TRUE,"ABOVE 2 HRS")</f>
        <v>ABOVE 2 HRS</v>
      </c>
    </row>
    <row r="325" spans="1:14" x14ac:dyDescent="0.3">
      <c r="A325" t="s">
        <v>359</v>
      </c>
      <c r="B325" t="s">
        <v>33</v>
      </c>
      <c r="C325">
        <v>36</v>
      </c>
      <c r="D325" t="s">
        <v>23</v>
      </c>
      <c r="E325" s="1">
        <v>45023</v>
      </c>
      <c r="F325">
        <v>135</v>
      </c>
      <c r="G325">
        <v>4.5999999999999996</v>
      </c>
      <c r="H325" t="str">
        <f>TEXT(calls[[#This Row],[Date of Call]],"DDDD")</f>
        <v>Friday</v>
      </c>
      <c r="I325">
        <f>ROUND(calls[[#This Row],[Satisfaction Rating]],0)</f>
        <v>5</v>
      </c>
      <c r="N325" t="str" cm="1">
        <f t="array" ref="N325">_xlfn.IFS(_xlfn.SINGLE(calls[Duration])&lt;30,"UNDER 30 MINS",_xlfn.SINGLE(calls[Duration])&lt;60,"30 T0 60 MINS",_xlfn.SINGLE(calls[Duration])&lt;120,"1 TO 2 HRS",TRUE,"ABOVE 2 HRS")</f>
        <v>30 T0 60 MINS</v>
      </c>
    </row>
    <row r="326" spans="1:14" x14ac:dyDescent="0.3">
      <c r="A326" t="s">
        <v>360</v>
      </c>
      <c r="B326" t="s">
        <v>50</v>
      </c>
      <c r="C326">
        <v>74</v>
      </c>
      <c r="D326" t="s">
        <v>23</v>
      </c>
      <c r="E326" s="1">
        <v>45023</v>
      </c>
      <c r="F326">
        <v>30</v>
      </c>
      <c r="G326">
        <v>4</v>
      </c>
      <c r="H326" t="str">
        <f>TEXT(calls[[#This Row],[Date of Call]],"DDDD")</f>
        <v>Friday</v>
      </c>
      <c r="I326">
        <f>ROUND(calls[[#This Row],[Satisfaction Rating]],0)</f>
        <v>4</v>
      </c>
      <c r="N326" t="str" cm="1">
        <f t="array" ref="N326">_xlfn.IFS(_xlfn.SINGLE(calls[Duration])&lt;30,"UNDER 30 MINS",_xlfn.SINGLE(calls[Duration])&lt;60,"30 T0 60 MINS",_xlfn.SINGLE(calls[Duration])&lt;120,"1 TO 2 HRS",TRUE,"ABOVE 2 HRS")</f>
        <v>1 TO 2 HRS</v>
      </c>
    </row>
    <row r="327" spans="1:14" x14ac:dyDescent="0.3">
      <c r="A327" t="s">
        <v>361</v>
      </c>
      <c r="B327" t="s">
        <v>18</v>
      </c>
      <c r="C327">
        <v>75</v>
      </c>
      <c r="D327" t="s">
        <v>23</v>
      </c>
      <c r="E327" s="1">
        <v>45023</v>
      </c>
      <c r="F327">
        <v>84</v>
      </c>
      <c r="G327">
        <v>2.8</v>
      </c>
      <c r="H327" t="str">
        <f>TEXT(calls[[#This Row],[Date of Call]],"DDDD")</f>
        <v>Friday</v>
      </c>
      <c r="I327">
        <f>ROUND(calls[[#This Row],[Satisfaction Rating]],0)</f>
        <v>3</v>
      </c>
      <c r="N327" t="str" cm="1">
        <f t="array" ref="N327">_xlfn.IFS(_xlfn.SINGLE(calls[Duration])&lt;30,"UNDER 30 MINS",_xlfn.SINGLE(calls[Duration])&lt;60,"30 T0 60 MINS",_xlfn.SINGLE(calls[Duration])&lt;120,"1 TO 2 HRS",TRUE,"ABOVE 2 HRS")</f>
        <v>1 TO 2 HRS</v>
      </c>
    </row>
    <row r="328" spans="1:14" x14ac:dyDescent="0.3">
      <c r="A328" t="s">
        <v>362</v>
      </c>
      <c r="B328" t="s">
        <v>37</v>
      </c>
      <c r="C328">
        <v>70</v>
      </c>
      <c r="D328" t="s">
        <v>36</v>
      </c>
      <c r="E328" s="1">
        <v>45023</v>
      </c>
      <c r="F328">
        <v>42</v>
      </c>
      <c r="G328">
        <v>4.4000000000000004</v>
      </c>
      <c r="H328" t="str">
        <f>TEXT(calls[[#This Row],[Date of Call]],"DDDD")</f>
        <v>Friday</v>
      </c>
      <c r="I328">
        <f>ROUND(calls[[#This Row],[Satisfaction Rating]],0)</f>
        <v>4</v>
      </c>
      <c r="N328" t="str" cm="1">
        <f t="array" ref="N328">_xlfn.IFS(_xlfn.SINGLE(calls[Duration])&lt;30,"UNDER 30 MINS",_xlfn.SINGLE(calls[Duration])&lt;60,"30 T0 60 MINS",_xlfn.SINGLE(calls[Duration])&lt;120,"1 TO 2 HRS",TRUE,"ABOVE 2 HRS")</f>
        <v>1 TO 2 HRS</v>
      </c>
    </row>
    <row r="329" spans="1:14" x14ac:dyDescent="0.3">
      <c r="A329" t="s">
        <v>363</v>
      </c>
      <c r="B329" t="s">
        <v>39</v>
      </c>
      <c r="C329">
        <v>23</v>
      </c>
      <c r="D329" t="s">
        <v>42</v>
      </c>
      <c r="E329" s="1">
        <v>45023</v>
      </c>
      <c r="F329">
        <v>117</v>
      </c>
      <c r="G329">
        <v>2.4</v>
      </c>
      <c r="H329" t="str">
        <f>TEXT(calls[[#This Row],[Date of Call]],"DDDD")</f>
        <v>Friday</v>
      </c>
      <c r="I329">
        <f>ROUND(calls[[#This Row],[Satisfaction Rating]],0)</f>
        <v>2</v>
      </c>
      <c r="N329" t="str" cm="1">
        <f t="array" ref="N329">_xlfn.IFS(_xlfn.SINGLE(calls[Duration])&lt;30,"UNDER 30 MINS",_xlfn.SINGLE(calls[Duration])&lt;60,"30 T0 60 MINS",_xlfn.SINGLE(calls[Duration])&lt;120,"1 TO 2 HRS",TRUE,"ABOVE 2 HRS")</f>
        <v>UNDER 30 MINS</v>
      </c>
    </row>
    <row r="330" spans="1:14" x14ac:dyDescent="0.3">
      <c r="A330" t="s">
        <v>364</v>
      </c>
      <c r="B330" t="s">
        <v>41</v>
      </c>
      <c r="C330">
        <v>104</v>
      </c>
      <c r="D330" t="s">
        <v>29</v>
      </c>
      <c r="E330" s="1">
        <v>45023</v>
      </c>
      <c r="F330">
        <v>164</v>
      </c>
      <c r="G330">
        <v>4</v>
      </c>
      <c r="H330" t="str">
        <f>TEXT(calls[[#This Row],[Date of Call]],"DDDD")</f>
        <v>Friday</v>
      </c>
      <c r="I330">
        <f>ROUND(calls[[#This Row],[Satisfaction Rating]],0)</f>
        <v>4</v>
      </c>
      <c r="N330" t="str" cm="1">
        <f t="array" ref="N330">_xlfn.IFS(_xlfn.SINGLE(calls[Duration])&lt;30,"UNDER 30 MINS",_xlfn.SINGLE(calls[Duration])&lt;60,"30 T0 60 MINS",_xlfn.SINGLE(calls[Duration])&lt;120,"1 TO 2 HRS",TRUE,"ABOVE 2 HRS")</f>
        <v>1 TO 2 HRS</v>
      </c>
    </row>
    <row r="331" spans="1:14" x14ac:dyDescent="0.3">
      <c r="A331" t="s">
        <v>365</v>
      </c>
      <c r="B331" t="s">
        <v>14</v>
      </c>
      <c r="C331">
        <v>95</v>
      </c>
      <c r="D331" t="s">
        <v>36</v>
      </c>
      <c r="E331" s="1">
        <v>45024</v>
      </c>
      <c r="F331">
        <v>123</v>
      </c>
      <c r="G331">
        <v>4.4000000000000004</v>
      </c>
      <c r="H331" t="str">
        <f>TEXT(calls[[#This Row],[Date of Call]],"DDDD")</f>
        <v>Saturday</v>
      </c>
      <c r="I331">
        <f>ROUND(calls[[#This Row],[Satisfaction Rating]],0)</f>
        <v>4</v>
      </c>
      <c r="N331" t="str" cm="1">
        <f t="array" ref="N331">_xlfn.IFS(_xlfn.SINGLE(calls[Duration])&lt;30,"UNDER 30 MINS",_xlfn.SINGLE(calls[Duration])&lt;60,"30 T0 60 MINS",_xlfn.SINGLE(calls[Duration])&lt;120,"1 TO 2 HRS",TRUE,"ABOVE 2 HRS")</f>
        <v>1 TO 2 HRS</v>
      </c>
    </row>
    <row r="332" spans="1:14" x14ac:dyDescent="0.3">
      <c r="A332" t="s">
        <v>366</v>
      </c>
      <c r="B332" t="s">
        <v>28</v>
      </c>
      <c r="C332">
        <v>49</v>
      </c>
      <c r="D332" t="s">
        <v>13</v>
      </c>
      <c r="E332" s="1">
        <v>45024</v>
      </c>
      <c r="F332">
        <v>172</v>
      </c>
      <c r="G332">
        <v>2.9</v>
      </c>
      <c r="H332" t="str">
        <f>TEXT(calls[[#This Row],[Date of Call]],"DDDD")</f>
        <v>Saturday</v>
      </c>
      <c r="I332">
        <f>ROUND(calls[[#This Row],[Satisfaction Rating]],0)</f>
        <v>3</v>
      </c>
      <c r="N332" t="str" cm="1">
        <f t="array" ref="N332">_xlfn.IFS(_xlfn.SINGLE(calls[Duration])&lt;30,"UNDER 30 MINS",_xlfn.SINGLE(calls[Duration])&lt;60,"30 T0 60 MINS",_xlfn.SINGLE(calls[Duration])&lt;120,"1 TO 2 HRS",TRUE,"ABOVE 2 HRS")</f>
        <v>30 T0 60 MINS</v>
      </c>
    </row>
    <row r="333" spans="1:14" x14ac:dyDescent="0.3">
      <c r="A333" t="s">
        <v>367</v>
      </c>
      <c r="B333" t="s">
        <v>46</v>
      </c>
      <c r="C333">
        <v>8</v>
      </c>
      <c r="D333" t="s">
        <v>42</v>
      </c>
      <c r="E333" s="1">
        <v>45024</v>
      </c>
      <c r="F333">
        <v>20</v>
      </c>
      <c r="G333">
        <v>4.8</v>
      </c>
      <c r="H333" t="str">
        <f>TEXT(calls[[#This Row],[Date of Call]],"DDDD")</f>
        <v>Saturday</v>
      </c>
      <c r="I333">
        <f>ROUND(calls[[#This Row],[Satisfaction Rating]],0)</f>
        <v>5</v>
      </c>
      <c r="N333" t="str" cm="1">
        <f t="array" ref="N333">_xlfn.IFS(_xlfn.SINGLE(calls[Duration])&lt;30,"UNDER 30 MINS",_xlfn.SINGLE(calls[Duration])&lt;60,"30 T0 60 MINS",_xlfn.SINGLE(calls[Duration])&lt;120,"1 TO 2 HRS",TRUE,"ABOVE 2 HRS")</f>
        <v>UNDER 30 MINS</v>
      </c>
    </row>
    <row r="334" spans="1:14" x14ac:dyDescent="0.3">
      <c r="A334" t="s">
        <v>368</v>
      </c>
      <c r="B334" t="s">
        <v>14</v>
      </c>
      <c r="C334">
        <v>157</v>
      </c>
      <c r="D334" t="s">
        <v>13</v>
      </c>
      <c r="E334" s="1">
        <v>45024</v>
      </c>
      <c r="F334">
        <v>72</v>
      </c>
      <c r="G334">
        <v>3.7</v>
      </c>
      <c r="H334" t="str">
        <f>TEXT(calls[[#This Row],[Date of Call]],"DDDD")</f>
        <v>Saturday</v>
      </c>
      <c r="I334">
        <f>ROUND(calls[[#This Row],[Satisfaction Rating]],0)</f>
        <v>4</v>
      </c>
      <c r="N334" t="str" cm="1">
        <f t="array" ref="N334">_xlfn.IFS(_xlfn.SINGLE(calls[Duration])&lt;30,"UNDER 30 MINS",_xlfn.SINGLE(calls[Duration])&lt;60,"30 T0 60 MINS",_xlfn.SINGLE(calls[Duration])&lt;120,"1 TO 2 HRS",TRUE,"ABOVE 2 HRS")</f>
        <v>ABOVE 2 HRS</v>
      </c>
    </row>
    <row r="335" spans="1:14" x14ac:dyDescent="0.3">
      <c r="A335" t="s">
        <v>369</v>
      </c>
      <c r="B335" t="s">
        <v>22</v>
      </c>
      <c r="C335">
        <v>74</v>
      </c>
      <c r="D335" t="s">
        <v>23</v>
      </c>
      <c r="E335" s="1">
        <v>45024</v>
      </c>
      <c r="F335">
        <v>32</v>
      </c>
      <c r="G335">
        <v>4.8</v>
      </c>
      <c r="H335" t="str">
        <f>TEXT(calls[[#This Row],[Date of Call]],"DDDD")</f>
        <v>Saturday</v>
      </c>
      <c r="I335">
        <f>ROUND(calls[[#This Row],[Satisfaction Rating]],0)</f>
        <v>5</v>
      </c>
      <c r="N335" t="str" cm="1">
        <f t="array" ref="N335">_xlfn.IFS(_xlfn.SINGLE(calls[Duration])&lt;30,"UNDER 30 MINS",_xlfn.SINGLE(calls[Duration])&lt;60,"30 T0 60 MINS",_xlfn.SINGLE(calls[Duration])&lt;120,"1 TO 2 HRS",TRUE,"ABOVE 2 HRS")</f>
        <v>1 TO 2 HRS</v>
      </c>
    </row>
    <row r="336" spans="1:14" x14ac:dyDescent="0.3">
      <c r="A336" t="s">
        <v>370</v>
      </c>
      <c r="B336" t="s">
        <v>39</v>
      </c>
      <c r="C336">
        <v>72</v>
      </c>
      <c r="D336" t="s">
        <v>36</v>
      </c>
      <c r="E336" s="1">
        <v>45024</v>
      </c>
      <c r="F336">
        <v>140</v>
      </c>
      <c r="G336">
        <v>3.2</v>
      </c>
      <c r="H336" t="str">
        <f>TEXT(calls[[#This Row],[Date of Call]],"DDDD")</f>
        <v>Saturday</v>
      </c>
      <c r="I336">
        <f>ROUND(calls[[#This Row],[Satisfaction Rating]],0)</f>
        <v>3</v>
      </c>
      <c r="N336" t="str" cm="1">
        <f t="array" ref="N336">_xlfn.IFS(_xlfn.SINGLE(calls[Duration])&lt;30,"UNDER 30 MINS",_xlfn.SINGLE(calls[Duration])&lt;60,"30 T0 60 MINS",_xlfn.SINGLE(calls[Duration])&lt;120,"1 TO 2 HRS",TRUE,"ABOVE 2 HRS")</f>
        <v>1 TO 2 HRS</v>
      </c>
    </row>
    <row r="337" spans="1:14" x14ac:dyDescent="0.3">
      <c r="A337" t="s">
        <v>371</v>
      </c>
      <c r="B337" t="s">
        <v>22</v>
      </c>
      <c r="C337">
        <v>79</v>
      </c>
      <c r="D337" t="s">
        <v>23</v>
      </c>
      <c r="E337" s="1">
        <v>45025</v>
      </c>
      <c r="F337">
        <v>120</v>
      </c>
      <c r="G337">
        <v>4.9000000000000004</v>
      </c>
      <c r="H337" t="str">
        <f>TEXT(calls[[#This Row],[Date of Call]],"DDDD")</f>
        <v>Sunday</v>
      </c>
      <c r="I337">
        <f>ROUND(calls[[#This Row],[Satisfaction Rating]],0)</f>
        <v>5</v>
      </c>
      <c r="N337" t="str" cm="1">
        <f t="array" ref="N337">_xlfn.IFS(_xlfn.SINGLE(calls[Duration])&lt;30,"UNDER 30 MINS",_xlfn.SINGLE(calls[Duration])&lt;60,"30 T0 60 MINS",_xlfn.SINGLE(calls[Duration])&lt;120,"1 TO 2 HRS",TRUE,"ABOVE 2 HRS")</f>
        <v>1 TO 2 HRS</v>
      </c>
    </row>
    <row r="338" spans="1:14" x14ac:dyDescent="0.3">
      <c r="A338" t="s">
        <v>372</v>
      </c>
      <c r="B338" t="s">
        <v>50</v>
      </c>
      <c r="C338">
        <v>23</v>
      </c>
      <c r="D338" t="s">
        <v>23</v>
      </c>
      <c r="E338" s="1">
        <v>45025</v>
      </c>
      <c r="F338">
        <v>86</v>
      </c>
      <c r="G338">
        <v>2.2000000000000002</v>
      </c>
      <c r="H338" t="str">
        <f>TEXT(calls[[#This Row],[Date of Call]],"DDDD")</f>
        <v>Sunday</v>
      </c>
      <c r="I338">
        <f>ROUND(calls[[#This Row],[Satisfaction Rating]],0)</f>
        <v>2</v>
      </c>
      <c r="N338" t="str" cm="1">
        <f t="array" ref="N338">_xlfn.IFS(_xlfn.SINGLE(calls[Duration])&lt;30,"UNDER 30 MINS",_xlfn.SINGLE(calls[Duration])&lt;60,"30 T0 60 MINS",_xlfn.SINGLE(calls[Duration])&lt;120,"1 TO 2 HRS",TRUE,"ABOVE 2 HRS")</f>
        <v>UNDER 30 MINS</v>
      </c>
    </row>
    <row r="339" spans="1:14" x14ac:dyDescent="0.3">
      <c r="A339" t="s">
        <v>373</v>
      </c>
      <c r="B339" t="s">
        <v>18</v>
      </c>
      <c r="C339">
        <v>69</v>
      </c>
      <c r="D339" t="s">
        <v>23</v>
      </c>
      <c r="E339" s="1">
        <v>45025</v>
      </c>
      <c r="F339">
        <v>132</v>
      </c>
      <c r="G339">
        <v>5</v>
      </c>
      <c r="H339" t="str">
        <f>TEXT(calls[[#This Row],[Date of Call]],"DDDD")</f>
        <v>Sunday</v>
      </c>
      <c r="I339">
        <f>ROUND(calls[[#This Row],[Satisfaction Rating]],0)</f>
        <v>5</v>
      </c>
      <c r="N339" t="str" cm="1">
        <f t="array" ref="N339">_xlfn.IFS(_xlfn.SINGLE(calls[Duration])&lt;30,"UNDER 30 MINS",_xlfn.SINGLE(calls[Duration])&lt;60,"30 T0 60 MINS",_xlfn.SINGLE(calls[Duration])&lt;120,"1 TO 2 HRS",TRUE,"ABOVE 2 HRS")</f>
        <v>1 TO 2 HRS</v>
      </c>
    </row>
    <row r="340" spans="1:14" x14ac:dyDescent="0.3">
      <c r="A340" t="s">
        <v>374</v>
      </c>
      <c r="B340" t="s">
        <v>31</v>
      </c>
      <c r="C340">
        <v>64</v>
      </c>
      <c r="D340" t="s">
        <v>23</v>
      </c>
      <c r="E340" s="1">
        <v>45025</v>
      </c>
      <c r="F340">
        <v>80</v>
      </c>
      <c r="G340">
        <v>3.3</v>
      </c>
      <c r="H340" t="str">
        <f>TEXT(calls[[#This Row],[Date of Call]],"DDDD")</f>
        <v>Sunday</v>
      </c>
      <c r="I340">
        <f>ROUND(calls[[#This Row],[Satisfaction Rating]],0)</f>
        <v>3</v>
      </c>
      <c r="N340" t="str" cm="1">
        <f t="array" ref="N340">_xlfn.IFS(_xlfn.SINGLE(calls[Duration])&lt;30,"UNDER 30 MINS",_xlfn.SINGLE(calls[Duration])&lt;60,"30 T0 60 MINS",_xlfn.SINGLE(calls[Duration])&lt;120,"1 TO 2 HRS",TRUE,"ABOVE 2 HRS")</f>
        <v>1 TO 2 HRS</v>
      </c>
    </row>
    <row r="341" spans="1:14" x14ac:dyDescent="0.3">
      <c r="A341" t="s">
        <v>375</v>
      </c>
      <c r="B341" t="s">
        <v>19</v>
      </c>
      <c r="C341">
        <v>47</v>
      </c>
      <c r="D341" t="s">
        <v>13</v>
      </c>
      <c r="E341" s="1">
        <v>45025</v>
      </c>
      <c r="F341">
        <v>132</v>
      </c>
      <c r="G341">
        <v>3.7</v>
      </c>
      <c r="H341" t="str">
        <f>TEXT(calls[[#This Row],[Date of Call]],"DDDD")</f>
        <v>Sunday</v>
      </c>
      <c r="I341">
        <f>ROUND(calls[[#This Row],[Satisfaction Rating]],0)</f>
        <v>4</v>
      </c>
      <c r="N341" t="str" cm="1">
        <f t="array" ref="N341">_xlfn.IFS(_xlfn.SINGLE(calls[Duration])&lt;30,"UNDER 30 MINS",_xlfn.SINGLE(calls[Duration])&lt;60,"30 T0 60 MINS",_xlfn.SINGLE(calls[Duration])&lt;120,"1 TO 2 HRS",TRUE,"ABOVE 2 HRS")</f>
        <v>30 T0 60 MINS</v>
      </c>
    </row>
    <row r="342" spans="1:14" x14ac:dyDescent="0.3">
      <c r="A342" t="s">
        <v>376</v>
      </c>
      <c r="B342" t="s">
        <v>22</v>
      </c>
      <c r="C342">
        <v>55</v>
      </c>
      <c r="D342" t="s">
        <v>36</v>
      </c>
      <c r="E342" s="1">
        <v>45025</v>
      </c>
      <c r="F342">
        <v>27</v>
      </c>
      <c r="G342">
        <v>3.7</v>
      </c>
      <c r="H342" t="str">
        <f>TEXT(calls[[#This Row],[Date of Call]],"DDDD")</f>
        <v>Sunday</v>
      </c>
      <c r="I342">
        <f>ROUND(calls[[#This Row],[Satisfaction Rating]],0)</f>
        <v>4</v>
      </c>
      <c r="N342" t="str" cm="1">
        <f t="array" ref="N342">_xlfn.IFS(_xlfn.SINGLE(calls[Duration])&lt;30,"UNDER 30 MINS",_xlfn.SINGLE(calls[Duration])&lt;60,"30 T0 60 MINS",_xlfn.SINGLE(calls[Duration])&lt;120,"1 TO 2 HRS",TRUE,"ABOVE 2 HRS")</f>
        <v>30 T0 60 MINS</v>
      </c>
    </row>
    <row r="343" spans="1:14" x14ac:dyDescent="0.3">
      <c r="A343" t="s">
        <v>377</v>
      </c>
      <c r="B343" t="s">
        <v>41</v>
      </c>
      <c r="C343">
        <v>104</v>
      </c>
      <c r="D343" t="s">
        <v>36</v>
      </c>
      <c r="E343" s="1">
        <v>45026</v>
      </c>
      <c r="F343">
        <v>68</v>
      </c>
      <c r="G343">
        <v>3.6</v>
      </c>
      <c r="H343" t="str">
        <f>TEXT(calls[[#This Row],[Date of Call]],"DDDD")</f>
        <v>Monday</v>
      </c>
      <c r="I343">
        <f>ROUND(calls[[#This Row],[Satisfaction Rating]],0)</f>
        <v>4</v>
      </c>
      <c r="N343" t="str" cm="1">
        <f t="array" ref="N343">_xlfn.IFS(_xlfn.SINGLE(calls[Duration])&lt;30,"UNDER 30 MINS",_xlfn.SINGLE(calls[Duration])&lt;60,"30 T0 60 MINS",_xlfn.SINGLE(calls[Duration])&lt;120,"1 TO 2 HRS",TRUE,"ABOVE 2 HRS")</f>
        <v>1 TO 2 HRS</v>
      </c>
    </row>
    <row r="344" spans="1:14" x14ac:dyDescent="0.3">
      <c r="A344" t="s">
        <v>378</v>
      </c>
      <c r="B344" t="s">
        <v>19</v>
      </c>
      <c r="C344">
        <v>116</v>
      </c>
      <c r="D344" t="s">
        <v>23</v>
      </c>
      <c r="E344" s="1">
        <v>45026</v>
      </c>
      <c r="F344">
        <v>22</v>
      </c>
      <c r="G344">
        <v>4.7</v>
      </c>
      <c r="H344" t="str">
        <f>TEXT(calls[[#This Row],[Date of Call]],"DDDD")</f>
        <v>Monday</v>
      </c>
      <c r="I344">
        <f>ROUND(calls[[#This Row],[Satisfaction Rating]],0)</f>
        <v>5</v>
      </c>
      <c r="N344" t="str" cm="1">
        <f t="array" ref="N344">_xlfn.IFS(_xlfn.SINGLE(calls[Duration])&lt;30,"UNDER 30 MINS",_xlfn.SINGLE(calls[Duration])&lt;60,"30 T0 60 MINS",_xlfn.SINGLE(calls[Duration])&lt;120,"1 TO 2 HRS",TRUE,"ABOVE 2 HRS")</f>
        <v>1 TO 2 HRS</v>
      </c>
    </row>
    <row r="345" spans="1:14" x14ac:dyDescent="0.3">
      <c r="A345" t="s">
        <v>379</v>
      </c>
      <c r="B345" t="s">
        <v>50</v>
      </c>
      <c r="C345">
        <v>99</v>
      </c>
      <c r="D345" t="s">
        <v>36</v>
      </c>
      <c r="E345" s="1">
        <v>45026</v>
      </c>
      <c r="F345">
        <v>42</v>
      </c>
      <c r="G345">
        <v>3.1</v>
      </c>
      <c r="H345" t="str">
        <f>TEXT(calls[[#This Row],[Date of Call]],"DDDD")</f>
        <v>Monday</v>
      </c>
      <c r="I345">
        <f>ROUND(calls[[#This Row],[Satisfaction Rating]],0)</f>
        <v>3</v>
      </c>
      <c r="N345" t="str" cm="1">
        <f t="array" ref="N345">_xlfn.IFS(_xlfn.SINGLE(calls[Duration])&lt;30,"UNDER 30 MINS",_xlfn.SINGLE(calls[Duration])&lt;60,"30 T0 60 MINS",_xlfn.SINGLE(calls[Duration])&lt;120,"1 TO 2 HRS",TRUE,"ABOVE 2 HRS")</f>
        <v>1 TO 2 HRS</v>
      </c>
    </row>
    <row r="346" spans="1:14" x14ac:dyDescent="0.3">
      <c r="A346" t="s">
        <v>380</v>
      </c>
      <c r="B346" t="s">
        <v>41</v>
      </c>
      <c r="C346">
        <v>84</v>
      </c>
      <c r="D346" t="s">
        <v>36</v>
      </c>
      <c r="E346" s="1">
        <v>45027</v>
      </c>
      <c r="F346">
        <v>38</v>
      </c>
      <c r="G346">
        <v>3.3</v>
      </c>
      <c r="H346" t="str">
        <f>TEXT(calls[[#This Row],[Date of Call]],"DDDD")</f>
        <v>Tuesday</v>
      </c>
      <c r="I346">
        <f>ROUND(calls[[#This Row],[Satisfaction Rating]],0)</f>
        <v>3</v>
      </c>
      <c r="N346" t="str" cm="1">
        <f t="array" ref="N346">_xlfn.IFS(_xlfn.SINGLE(calls[Duration])&lt;30,"UNDER 30 MINS",_xlfn.SINGLE(calls[Duration])&lt;60,"30 T0 60 MINS",_xlfn.SINGLE(calls[Duration])&lt;120,"1 TO 2 HRS",TRUE,"ABOVE 2 HRS")</f>
        <v>1 TO 2 HRS</v>
      </c>
    </row>
    <row r="347" spans="1:14" x14ac:dyDescent="0.3">
      <c r="A347" t="s">
        <v>381</v>
      </c>
      <c r="B347" t="s">
        <v>46</v>
      </c>
      <c r="C347">
        <v>159</v>
      </c>
      <c r="D347" t="s">
        <v>36</v>
      </c>
      <c r="E347" s="1">
        <v>45027</v>
      </c>
      <c r="F347">
        <v>42</v>
      </c>
      <c r="G347">
        <v>4.5</v>
      </c>
      <c r="H347" t="str">
        <f>TEXT(calls[[#This Row],[Date of Call]],"DDDD")</f>
        <v>Tuesday</v>
      </c>
      <c r="I347">
        <f>ROUND(calls[[#This Row],[Satisfaction Rating]],0)</f>
        <v>5</v>
      </c>
      <c r="N347" t="str" cm="1">
        <f t="array" ref="N347">_xlfn.IFS(_xlfn.SINGLE(calls[Duration])&lt;30,"UNDER 30 MINS",_xlfn.SINGLE(calls[Duration])&lt;60,"30 T0 60 MINS",_xlfn.SINGLE(calls[Duration])&lt;120,"1 TO 2 HRS",TRUE,"ABOVE 2 HRS")</f>
        <v>ABOVE 2 HRS</v>
      </c>
    </row>
    <row r="348" spans="1:14" x14ac:dyDescent="0.3">
      <c r="A348" t="s">
        <v>382</v>
      </c>
      <c r="B348" t="s">
        <v>33</v>
      </c>
      <c r="C348">
        <v>25</v>
      </c>
      <c r="D348" t="s">
        <v>13</v>
      </c>
      <c r="E348" s="1">
        <v>45027</v>
      </c>
      <c r="F348">
        <v>75</v>
      </c>
      <c r="G348">
        <v>3.9</v>
      </c>
      <c r="H348" t="str">
        <f>TEXT(calls[[#This Row],[Date of Call]],"DDDD")</f>
        <v>Tuesday</v>
      </c>
      <c r="I348">
        <f>ROUND(calls[[#This Row],[Satisfaction Rating]],0)</f>
        <v>4</v>
      </c>
      <c r="N348" t="str" cm="1">
        <f t="array" ref="N348">_xlfn.IFS(_xlfn.SINGLE(calls[Duration])&lt;30,"UNDER 30 MINS",_xlfn.SINGLE(calls[Duration])&lt;60,"30 T0 60 MINS",_xlfn.SINGLE(calls[Duration])&lt;120,"1 TO 2 HRS",TRUE,"ABOVE 2 HRS")</f>
        <v>UNDER 30 MINS</v>
      </c>
    </row>
    <row r="349" spans="1:14" x14ac:dyDescent="0.3">
      <c r="A349" t="s">
        <v>383</v>
      </c>
      <c r="B349" t="s">
        <v>46</v>
      </c>
      <c r="C349">
        <v>53</v>
      </c>
      <c r="D349" t="s">
        <v>42</v>
      </c>
      <c r="E349" s="1">
        <v>45028</v>
      </c>
      <c r="F349">
        <v>23</v>
      </c>
      <c r="G349">
        <v>4.9000000000000004</v>
      </c>
      <c r="H349" t="str">
        <f>TEXT(calls[[#This Row],[Date of Call]],"DDDD")</f>
        <v>Wednesday</v>
      </c>
      <c r="I349">
        <f>ROUND(calls[[#This Row],[Satisfaction Rating]],0)</f>
        <v>5</v>
      </c>
      <c r="N349" t="str" cm="1">
        <f t="array" ref="N349">_xlfn.IFS(_xlfn.SINGLE(calls[Duration])&lt;30,"UNDER 30 MINS",_xlfn.SINGLE(calls[Duration])&lt;60,"30 T0 60 MINS",_xlfn.SINGLE(calls[Duration])&lt;120,"1 TO 2 HRS",TRUE,"ABOVE 2 HRS")</f>
        <v>30 T0 60 MINS</v>
      </c>
    </row>
    <row r="350" spans="1:14" x14ac:dyDescent="0.3">
      <c r="A350" t="s">
        <v>384</v>
      </c>
      <c r="B350" t="s">
        <v>46</v>
      </c>
      <c r="C350">
        <v>89</v>
      </c>
      <c r="D350" t="s">
        <v>13</v>
      </c>
      <c r="E350" s="1">
        <v>45028</v>
      </c>
      <c r="F350">
        <v>200</v>
      </c>
      <c r="G350">
        <v>4.8</v>
      </c>
      <c r="H350" t="str">
        <f>TEXT(calls[[#This Row],[Date of Call]],"DDDD")</f>
        <v>Wednesday</v>
      </c>
      <c r="I350">
        <f>ROUND(calls[[#This Row],[Satisfaction Rating]],0)</f>
        <v>5</v>
      </c>
      <c r="N350" t="str" cm="1">
        <f t="array" ref="N350">_xlfn.IFS(_xlfn.SINGLE(calls[Duration])&lt;30,"UNDER 30 MINS",_xlfn.SINGLE(calls[Duration])&lt;60,"30 T0 60 MINS",_xlfn.SINGLE(calls[Duration])&lt;120,"1 TO 2 HRS",TRUE,"ABOVE 2 HRS")</f>
        <v>1 TO 2 HRS</v>
      </c>
    </row>
    <row r="351" spans="1:14" x14ac:dyDescent="0.3">
      <c r="A351" t="s">
        <v>385</v>
      </c>
      <c r="B351" t="s">
        <v>26</v>
      </c>
      <c r="C351">
        <v>73</v>
      </c>
      <c r="D351" t="s">
        <v>23</v>
      </c>
      <c r="E351" s="1">
        <v>45029</v>
      </c>
      <c r="F351">
        <v>45</v>
      </c>
      <c r="G351">
        <v>3.6</v>
      </c>
      <c r="H351" t="str">
        <f>TEXT(calls[[#This Row],[Date of Call]],"DDDD")</f>
        <v>Thursday</v>
      </c>
      <c r="I351">
        <f>ROUND(calls[[#This Row],[Satisfaction Rating]],0)</f>
        <v>4</v>
      </c>
      <c r="N351" t="str" cm="1">
        <f t="array" ref="N351">_xlfn.IFS(_xlfn.SINGLE(calls[Duration])&lt;30,"UNDER 30 MINS",_xlfn.SINGLE(calls[Duration])&lt;60,"30 T0 60 MINS",_xlfn.SINGLE(calls[Duration])&lt;120,"1 TO 2 HRS",TRUE,"ABOVE 2 HRS")</f>
        <v>1 TO 2 HRS</v>
      </c>
    </row>
    <row r="352" spans="1:14" x14ac:dyDescent="0.3">
      <c r="A352" t="s">
        <v>386</v>
      </c>
      <c r="B352" t="s">
        <v>50</v>
      </c>
      <c r="C352">
        <v>50</v>
      </c>
      <c r="D352" t="s">
        <v>23</v>
      </c>
      <c r="E352" s="1">
        <v>45029</v>
      </c>
      <c r="F352">
        <v>105</v>
      </c>
      <c r="G352">
        <v>3.5</v>
      </c>
      <c r="H352" t="str">
        <f>TEXT(calls[[#This Row],[Date of Call]],"DDDD")</f>
        <v>Thursday</v>
      </c>
      <c r="I352">
        <f>ROUND(calls[[#This Row],[Satisfaction Rating]],0)</f>
        <v>4</v>
      </c>
      <c r="N352" t="str" cm="1">
        <f t="array" ref="N352">_xlfn.IFS(_xlfn.SINGLE(calls[Duration])&lt;30,"UNDER 30 MINS",_xlfn.SINGLE(calls[Duration])&lt;60,"30 T0 60 MINS",_xlfn.SINGLE(calls[Duration])&lt;120,"1 TO 2 HRS",TRUE,"ABOVE 2 HRS")</f>
        <v>30 T0 60 MINS</v>
      </c>
    </row>
    <row r="353" spans="1:14" x14ac:dyDescent="0.3">
      <c r="A353" t="s">
        <v>387</v>
      </c>
      <c r="B353" t="s">
        <v>28</v>
      </c>
      <c r="C353">
        <v>98</v>
      </c>
      <c r="D353" t="s">
        <v>23</v>
      </c>
      <c r="E353" s="1">
        <v>45029</v>
      </c>
      <c r="F353">
        <v>22</v>
      </c>
      <c r="G353">
        <v>3.8</v>
      </c>
      <c r="H353" t="str">
        <f>TEXT(calls[[#This Row],[Date of Call]],"DDDD")</f>
        <v>Thursday</v>
      </c>
      <c r="I353">
        <f>ROUND(calls[[#This Row],[Satisfaction Rating]],0)</f>
        <v>4</v>
      </c>
      <c r="N353" t="str" cm="1">
        <f t="array" ref="N353">_xlfn.IFS(_xlfn.SINGLE(calls[Duration])&lt;30,"UNDER 30 MINS",_xlfn.SINGLE(calls[Duration])&lt;60,"30 T0 60 MINS",_xlfn.SINGLE(calls[Duration])&lt;120,"1 TO 2 HRS",TRUE,"ABOVE 2 HRS")</f>
        <v>1 TO 2 HRS</v>
      </c>
    </row>
    <row r="354" spans="1:14" x14ac:dyDescent="0.3">
      <c r="A354" t="s">
        <v>388</v>
      </c>
      <c r="B354" t="s">
        <v>45</v>
      </c>
      <c r="C354">
        <v>114</v>
      </c>
      <c r="D354" t="s">
        <v>36</v>
      </c>
      <c r="E354" s="1">
        <v>45030</v>
      </c>
      <c r="F354">
        <v>126</v>
      </c>
      <c r="G354">
        <v>4.4000000000000004</v>
      </c>
      <c r="H354" t="str">
        <f>TEXT(calls[[#This Row],[Date of Call]],"DDDD")</f>
        <v>Friday</v>
      </c>
      <c r="I354">
        <f>ROUND(calls[[#This Row],[Satisfaction Rating]],0)</f>
        <v>4</v>
      </c>
      <c r="N354" t="str" cm="1">
        <f t="array" ref="N354">_xlfn.IFS(_xlfn.SINGLE(calls[Duration])&lt;30,"UNDER 30 MINS",_xlfn.SINGLE(calls[Duration])&lt;60,"30 T0 60 MINS",_xlfn.SINGLE(calls[Duration])&lt;120,"1 TO 2 HRS",TRUE,"ABOVE 2 HRS")</f>
        <v>1 TO 2 HRS</v>
      </c>
    </row>
    <row r="355" spans="1:14" x14ac:dyDescent="0.3">
      <c r="A355" t="s">
        <v>389</v>
      </c>
      <c r="B355" t="s">
        <v>31</v>
      </c>
      <c r="C355">
        <v>67</v>
      </c>
      <c r="D355" t="s">
        <v>36</v>
      </c>
      <c r="E355" s="1">
        <v>45030</v>
      </c>
      <c r="F355">
        <v>35</v>
      </c>
      <c r="G355">
        <v>3</v>
      </c>
      <c r="H355" t="str">
        <f>TEXT(calls[[#This Row],[Date of Call]],"DDDD")</f>
        <v>Friday</v>
      </c>
      <c r="I355">
        <f>ROUND(calls[[#This Row],[Satisfaction Rating]],0)</f>
        <v>3</v>
      </c>
      <c r="N355" t="str" cm="1">
        <f t="array" ref="N355">_xlfn.IFS(_xlfn.SINGLE(calls[Duration])&lt;30,"UNDER 30 MINS",_xlfn.SINGLE(calls[Duration])&lt;60,"30 T0 60 MINS",_xlfn.SINGLE(calls[Duration])&lt;120,"1 TO 2 HRS",TRUE,"ABOVE 2 HRS")</f>
        <v>1 TO 2 HRS</v>
      </c>
    </row>
    <row r="356" spans="1:14" x14ac:dyDescent="0.3">
      <c r="A356" t="s">
        <v>390</v>
      </c>
      <c r="B356" t="s">
        <v>22</v>
      </c>
      <c r="C356">
        <v>91</v>
      </c>
      <c r="D356" t="s">
        <v>23</v>
      </c>
      <c r="E356" s="1">
        <v>45030</v>
      </c>
      <c r="F356">
        <v>84</v>
      </c>
      <c r="G356">
        <v>4.5</v>
      </c>
      <c r="H356" t="str">
        <f>TEXT(calls[[#This Row],[Date of Call]],"DDDD")</f>
        <v>Friday</v>
      </c>
      <c r="I356">
        <f>ROUND(calls[[#This Row],[Satisfaction Rating]],0)</f>
        <v>5</v>
      </c>
      <c r="N356" t="str" cm="1">
        <f t="array" ref="N356">_xlfn.IFS(_xlfn.SINGLE(calls[Duration])&lt;30,"UNDER 30 MINS",_xlfn.SINGLE(calls[Duration])&lt;60,"30 T0 60 MINS",_xlfn.SINGLE(calls[Duration])&lt;120,"1 TO 2 HRS",TRUE,"ABOVE 2 HRS")</f>
        <v>1 TO 2 HRS</v>
      </c>
    </row>
    <row r="357" spans="1:14" x14ac:dyDescent="0.3">
      <c r="A357" t="s">
        <v>391</v>
      </c>
      <c r="B357" t="s">
        <v>37</v>
      </c>
      <c r="C357">
        <v>67</v>
      </c>
      <c r="D357" t="s">
        <v>23</v>
      </c>
      <c r="E357" s="1">
        <v>45031</v>
      </c>
      <c r="F357">
        <v>172</v>
      </c>
      <c r="G357">
        <v>4.5</v>
      </c>
      <c r="H357" t="str">
        <f>TEXT(calls[[#This Row],[Date of Call]],"DDDD")</f>
        <v>Saturday</v>
      </c>
      <c r="I357">
        <f>ROUND(calls[[#This Row],[Satisfaction Rating]],0)</f>
        <v>5</v>
      </c>
      <c r="N357" t="str" cm="1">
        <f t="array" ref="N357">_xlfn.IFS(_xlfn.SINGLE(calls[Duration])&lt;30,"UNDER 30 MINS",_xlfn.SINGLE(calls[Duration])&lt;60,"30 T0 60 MINS",_xlfn.SINGLE(calls[Duration])&lt;120,"1 TO 2 HRS",TRUE,"ABOVE 2 HRS")</f>
        <v>1 TO 2 HRS</v>
      </c>
    </row>
    <row r="358" spans="1:14" x14ac:dyDescent="0.3">
      <c r="A358" t="s">
        <v>392</v>
      </c>
      <c r="B358" t="s">
        <v>45</v>
      </c>
      <c r="C358">
        <v>139</v>
      </c>
      <c r="D358" t="s">
        <v>13</v>
      </c>
      <c r="E358" s="1">
        <v>45031</v>
      </c>
      <c r="F358">
        <v>114</v>
      </c>
      <c r="G358">
        <v>4</v>
      </c>
      <c r="H358" t="str">
        <f>TEXT(calls[[#This Row],[Date of Call]],"DDDD")</f>
        <v>Saturday</v>
      </c>
      <c r="I358">
        <f>ROUND(calls[[#This Row],[Satisfaction Rating]],0)</f>
        <v>4</v>
      </c>
      <c r="N358" t="str" cm="1">
        <f t="array" ref="N358">_xlfn.IFS(_xlfn.SINGLE(calls[Duration])&lt;30,"UNDER 30 MINS",_xlfn.SINGLE(calls[Duration])&lt;60,"30 T0 60 MINS",_xlfn.SINGLE(calls[Duration])&lt;120,"1 TO 2 HRS",TRUE,"ABOVE 2 HRS")</f>
        <v>ABOVE 2 HRS</v>
      </c>
    </row>
    <row r="359" spans="1:14" x14ac:dyDescent="0.3">
      <c r="A359" t="s">
        <v>393</v>
      </c>
      <c r="B359" t="s">
        <v>37</v>
      </c>
      <c r="C359">
        <v>102</v>
      </c>
      <c r="D359" t="s">
        <v>13</v>
      </c>
      <c r="E359" s="1">
        <v>45031</v>
      </c>
      <c r="F359">
        <v>60</v>
      </c>
      <c r="G359">
        <v>3.8</v>
      </c>
      <c r="H359" t="str">
        <f>TEXT(calls[[#This Row],[Date of Call]],"DDDD")</f>
        <v>Saturday</v>
      </c>
      <c r="I359">
        <f>ROUND(calls[[#This Row],[Satisfaction Rating]],0)</f>
        <v>4</v>
      </c>
      <c r="N359" t="str" cm="1">
        <f t="array" ref="N359">_xlfn.IFS(_xlfn.SINGLE(calls[Duration])&lt;30,"UNDER 30 MINS",_xlfn.SINGLE(calls[Duration])&lt;60,"30 T0 60 MINS",_xlfn.SINGLE(calls[Duration])&lt;120,"1 TO 2 HRS",TRUE,"ABOVE 2 HRS")</f>
        <v>1 TO 2 HRS</v>
      </c>
    </row>
    <row r="360" spans="1:14" x14ac:dyDescent="0.3">
      <c r="A360" t="s">
        <v>394</v>
      </c>
      <c r="B360" t="s">
        <v>14</v>
      </c>
      <c r="C360">
        <v>108</v>
      </c>
      <c r="D360" t="s">
        <v>29</v>
      </c>
      <c r="E360" s="1">
        <v>45031</v>
      </c>
      <c r="F360">
        <v>26</v>
      </c>
      <c r="G360">
        <v>3.3</v>
      </c>
      <c r="H360" t="str">
        <f>TEXT(calls[[#This Row],[Date of Call]],"DDDD")</f>
        <v>Saturday</v>
      </c>
      <c r="I360">
        <f>ROUND(calls[[#This Row],[Satisfaction Rating]],0)</f>
        <v>3</v>
      </c>
      <c r="N360" t="str" cm="1">
        <f t="array" ref="N360">_xlfn.IFS(_xlfn.SINGLE(calls[Duration])&lt;30,"UNDER 30 MINS",_xlfn.SINGLE(calls[Duration])&lt;60,"30 T0 60 MINS",_xlfn.SINGLE(calls[Duration])&lt;120,"1 TO 2 HRS",TRUE,"ABOVE 2 HRS")</f>
        <v>1 TO 2 HRS</v>
      </c>
    </row>
    <row r="361" spans="1:14" x14ac:dyDescent="0.3">
      <c r="A361" t="s">
        <v>395</v>
      </c>
      <c r="B361" t="s">
        <v>33</v>
      </c>
      <c r="C361">
        <v>66</v>
      </c>
      <c r="D361" t="s">
        <v>23</v>
      </c>
      <c r="E361" s="1">
        <v>45031</v>
      </c>
      <c r="F361">
        <v>210</v>
      </c>
      <c r="G361">
        <v>4.3</v>
      </c>
      <c r="H361" t="str">
        <f>TEXT(calls[[#This Row],[Date of Call]],"DDDD")</f>
        <v>Saturday</v>
      </c>
      <c r="I361">
        <f>ROUND(calls[[#This Row],[Satisfaction Rating]],0)</f>
        <v>4</v>
      </c>
      <c r="N361" t="str" cm="1">
        <f t="array" ref="N361">_xlfn.IFS(_xlfn.SINGLE(calls[Duration])&lt;30,"UNDER 30 MINS",_xlfn.SINGLE(calls[Duration])&lt;60,"30 T0 60 MINS",_xlfn.SINGLE(calls[Duration])&lt;120,"1 TO 2 HRS",TRUE,"ABOVE 2 HRS")</f>
        <v>1 TO 2 HRS</v>
      </c>
    </row>
    <row r="362" spans="1:14" x14ac:dyDescent="0.3">
      <c r="A362" t="s">
        <v>396</v>
      </c>
      <c r="B362" t="s">
        <v>39</v>
      </c>
      <c r="C362">
        <v>85</v>
      </c>
      <c r="D362" t="s">
        <v>13</v>
      </c>
      <c r="E362" s="1">
        <v>45031</v>
      </c>
      <c r="F362">
        <v>129</v>
      </c>
      <c r="G362">
        <v>4.2</v>
      </c>
      <c r="H362" t="str">
        <f>TEXT(calls[[#This Row],[Date of Call]],"DDDD")</f>
        <v>Saturday</v>
      </c>
      <c r="I362">
        <f>ROUND(calls[[#This Row],[Satisfaction Rating]],0)</f>
        <v>4</v>
      </c>
      <c r="N362" t="str" cm="1">
        <f t="array" ref="N362">_xlfn.IFS(_xlfn.SINGLE(calls[Duration])&lt;30,"UNDER 30 MINS",_xlfn.SINGLE(calls[Duration])&lt;60,"30 T0 60 MINS",_xlfn.SINGLE(calls[Duration])&lt;120,"1 TO 2 HRS",TRUE,"ABOVE 2 HRS")</f>
        <v>1 TO 2 HRS</v>
      </c>
    </row>
    <row r="363" spans="1:14" x14ac:dyDescent="0.3">
      <c r="A363" t="s">
        <v>397</v>
      </c>
      <c r="B363" t="s">
        <v>31</v>
      </c>
      <c r="C363">
        <v>55</v>
      </c>
      <c r="D363" t="s">
        <v>29</v>
      </c>
      <c r="E363" s="1">
        <v>45031</v>
      </c>
      <c r="F363">
        <v>215</v>
      </c>
      <c r="G363">
        <v>4.3</v>
      </c>
      <c r="H363" t="str">
        <f>TEXT(calls[[#This Row],[Date of Call]],"DDDD")</f>
        <v>Saturday</v>
      </c>
      <c r="I363">
        <f>ROUND(calls[[#This Row],[Satisfaction Rating]],0)</f>
        <v>4</v>
      </c>
      <c r="N363" t="str" cm="1">
        <f t="array" ref="N363">_xlfn.IFS(_xlfn.SINGLE(calls[Duration])&lt;30,"UNDER 30 MINS",_xlfn.SINGLE(calls[Duration])&lt;60,"30 T0 60 MINS",_xlfn.SINGLE(calls[Duration])&lt;120,"1 TO 2 HRS",TRUE,"ABOVE 2 HRS")</f>
        <v>30 T0 60 MINS</v>
      </c>
    </row>
    <row r="364" spans="1:14" x14ac:dyDescent="0.3">
      <c r="A364" t="s">
        <v>398</v>
      </c>
      <c r="B364" t="s">
        <v>14</v>
      </c>
      <c r="C364">
        <v>17</v>
      </c>
      <c r="D364" t="s">
        <v>42</v>
      </c>
      <c r="E364" s="1">
        <v>45031</v>
      </c>
      <c r="F364">
        <v>69</v>
      </c>
      <c r="G364">
        <v>4.5999999999999996</v>
      </c>
      <c r="H364" t="str">
        <f>TEXT(calls[[#This Row],[Date of Call]],"DDDD")</f>
        <v>Saturday</v>
      </c>
      <c r="I364">
        <f>ROUND(calls[[#This Row],[Satisfaction Rating]],0)</f>
        <v>5</v>
      </c>
      <c r="N364" t="str" cm="1">
        <f t="array" ref="N364">_xlfn.IFS(_xlfn.SINGLE(calls[Duration])&lt;30,"UNDER 30 MINS",_xlfn.SINGLE(calls[Duration])&lt;60,"30 T0 60 MINS",_xlfn.SINGLE(calls[Duration])&lt;120,"1 TO 2 HRS",TRUE,"ABOVE 2 HRS")</f>
        <v>UNDER 30 MINS</v>
      </c>
    </row>
    <row r="365" spans="1:14" x14ac:dyDescent="0.3">
      <c r="A365" t="s">
        <v>399</v>
      </c>
      <c r="B365" t="s">
        <v>31</v>
      </c>
      <c r="C365">
        <v>128</v>
      </c>
      <c r="D365" t="s">
        <v>42</v>
      </c>
      <c r="E365" s="1">
        <v>45031</v>
      </c>
      <c r="F365">
        <v>140</v>
      </c>
      <c r="G365">
        <v>3</v>
      </c>
      <c r="H365" t="str">
        <f>TEXT(calls[[#This Row],[Date of Call]],"DDDD")</f>
        <v>Saturday</v>
      </c>
      <c r="I365">
        <f>ROUND(calls[[#This Row],[Satisfaction Rating]],0)</f>
        <v>3</v>
      </c>
      <c r="N365" t="str" cm="1">
        <f t="array" ref="N365">_xlfn.IFS(_xlfn.SINGLE(calls[Duration])&lt;30,"UNDER 30 MINS",_xlfn.SINGLE(calls[Duration])&lt;60,"30 T0 60 MINS",_xlfn.SINGLE(calls[Duration])&lt;120,"1 TO 2 HRS",TRUE,"ABOVE 2 HRS")</f>
        <v>ABOVE 2 HRS</v>
      </c>
    </row>
    <row r="366" spans="1:14" x14ac:dyDescent="0.3">
      <c r="A366" t="s">
        <v>400</v>
      </c>
      <c r="B366" t="s">
        <v>50</v>
      </c>
      <c r="C366">
        <v>45</v>
      </c>
      <c r="D366" t="s">
        <v>29</v>
      </c>
      <c r="E366" s="1">
        <v>45032</v>
      </c>
      <c r="F366">
        <v>156</v>
      </c>
      <c r="G366">
        <v>2.7</v>
      </c>
      <c r="H366" t="str">
        <f>TEXT(calls[[#This Row],[Date of Call]],"DDDD")</f>
        <v>Sunday</v>
      </c>
      <c r="I366">
        <f>ROUND(calls[[#This Row],[Satisfaction Rating]],0)</f>
        <v>3</v>
      </c>
      <c r="N366" t="str" cm="1">
        <f t="array" ref="N366">_xlfn.IFS(_xlfn.SINGLE(calls[Duration])&lt;30,"UNDER 30 MINS",_xlfn.SINGLE(calls[Duration])&lt;60,"30 T0 60 MINS",_xlfn.SINGLE(calls[Duration])&lt;120,"1 TO 2 HRS",TRUE,"ABOVE 2 HRS")</f>
        <v>30 T0 60 MINS</v>
      </c>
    </row>
    <row r="367" spans="1:14" x14ac:dyDescent="0.3">
      <c r="A367" t="s">
        <v>401</v>
      </c>
      <c r="B367" t="s">
        <v>14</v>
      </c>
      <c r="C367">
        <v>41</v>
      </c>
      <c r="D367" t="s">
        <v>42</v>
      </c>
      <c r="E367" s="1">
        <v>45032</v>
      </c>
      <c r="F367">
        <v>164</v>
      </c>
      <c r="G367">
        <v>3.1</v>
      </c>
      <c r="H367" t="str">
        <f>TEXT(calls[[#This Row],[Date of Call]],"DDDD")</f>
        <v>Sunday</v>
      </c>
      <c r="I367">
        <f>ROUND(calls[[#This Row],[Satisfaction Rating]],0)</f>
        <v>3</v>
      </c>
      <c r="N367" t="str" cm="1">
        <f t="array" ref="N367">_xlfn.IFS(_xlfn.SINGLE(calls[Duration])&lt;30,"UNDER 30 MINS",_xlfn.SINGLE(calls[Duration])&lt;60,"30 T0 60 MINS",_xlfn.SINGLE(calls[Duration])&lt;120,"1 TO 2 HRS",TRUE,"ABOVE 2 HRS")</f>
        <v>30 T0 60 MINS</v>
      </c>
    </row>
    <row r="368" spans="1:14" x14ac:dyDescent="0.3">
      <c r="A368" t="s">
        <v>402</v>
      </c>
      <c r="B368" t="s">
        <v>19</v>
      </c>
      <c r="C368">
        <v>49</v>
      </c>
      <c r="D368" t="s">
        <v>42</v>
      </c>
      <c r="E368" s="1">
        <v>45032</v>
      </c>
      <c r="F368">
        <v>195</v>
      </c>
      <c r="G368">
        <v>2.6</v>
      </c>
      <c r="H368" t="str">
        <f>TEXT(calls[[#This Row],[Date of Call]],"DDDD")</f>
        <v>Sunday</v>
      </c>
      <c r="I368">
        <f>ROUND(calls[[#This Row],[Satisfaction Rating]],0)</f>
        <v>3</v>
      </c>
      <c r="N368" t="str" cm="1">
        <f t="array" ref="N368">_xlfn.IFS(_xlfn.SINGLE(calls[Duration])&lt;30,"UNDER 30 MINS",_xlfn.SINGLE(calls[Duration])&lt;60,"30 T0 60 MINS",_xlfn.SINGLE(calls[Duration])&lt;120,"1 TO 2 HRS",TRUE,"ABOVE 2 HRS")</f>
        <v>30 T0 60 MINS</v>
      </c>
    </row>
    <row r="369" spans="1:14" x14ac:dyDescent="0.3">
      <c r="A369" t="s">
        <v>403</v>
      </c>
      <c r="B369" t="s">
        <v>18</v>
      </c>
      <c r="C369">
        <v>21</v>
      </c>
      <c r="D369" t="s">
        <v>36</v>
      </c>
      <c r="E369" s="1">
        <v>45032</v>
      </c>
      <c r="F369">
        <v>74</v>
      </c>
      <c r="G369">
        <v>4.5999999999999996</v>
      </c>
      <c r="H369" t="str">
        <f>TEXT(calls[[#This Row],[Date of Call]],"DDDD")</f>
        <v>Sunday</v>
      </c>
      <c r="I369">
        <f>ROUND(calls[[#This Row],[Satisfaction Rating]],0)</f>
        <v>5</v>
      </c>
      <c r="N369" t="str" cm="1">
        <f t="array" ref="N369">_xlfn.IFS(_xlfn.SINGLE(calls[Duration])&lt;30,"UNDER 30 MINS",_xlfn.SINGLE(calls[Duration])&lt;60,"30 T0 60 MINS",_xlfn.SINGLE(calls[Duration])&lt;120,"1 TO 2 HRS",TRUE,"ABOVE 2 HRS")</f>
        <v>UNDER 30 MINS</v>
      </c>
    </row>
    <row r="370" spans="1:14" x14ac:dyDescent="0.3">
      <c r="A370" t="s">
        <v>404</v>
      </c>
      <c r="B370" t="s">
        <v>46</v>
      </c>
      <c r="C370">
        <v>133</v>
      </c>
      <c r="D370" t="s">
        <v>29</v>
      </c>
      <c r="E370" s="1">
        <v>45032</v>
      </c>
      <c r="F370">
        <v>100</v>
      </c>
      <c r="G370">
        <v>4</v>
      </c>
      <c r="H370" t="str">
        <f>TEXT(calls[[#This Row],[Date of Call]],"DDDD")</f>
        <v>Sunday</v>
      </c>
      <c r="I370">
        <f>ROUND(calls[[#This Row],[Satisfaction Rating]],0)</f>
        <v>4</v>
      </c>
      <c r="N370" t="str" cm="1">
        <f t="array" ref="N370">_xlfn.IFS(_xlfn.SINGLE(calls[Duration])&lt;30,"UNDER 30 MINS",_xlfn.SINGLE(calls[Duration])&lt;60,"30 T0 60 MINS",_xlfn.SINGLE(calls[Duration])&lt;120,"1 TO 2 HRS",TRUE,"ABOVE 2 HRS")</f>
        <v>ABOVE 2 HRS</v>
      </c>
    </row>
    <row r="371" spans="1:14" x14ac:dyDescent="0.3">
      <c r="A371" t="s">
        <v>405</v>
      </c>
      <c r="B371" t="s">
        <v>12</v>
      </c>
      <c r="C371">
        <v>135</v>
      </c>
      <c r="D371" t="s">
        <v>23</v>
      </c>
      <c r="E371" s="1">
        <v>45032</v>
      </c>
      <c r="F371">
        <v>185</v>
      </c>
      <c r="G371">
        <v>4.5</v>
      </c>
      <c r="H371" t="str">
        <f>TEXT(calls[[#This Row],[Date of Call]],"DDDD")</f>
        <v>Sunday</v>
      </c>
      <c r="I371">
        <f>ROUND(calls[[#This Row],[Satisfaction Rating]],0)</f>
        <v>5</v>
      </c>
      <c r="N371" t="str" cm="1">
        <f t="array" ref="N371">_xlfn.IFS(_xlfn.SINGLE(calls[Duration])&lt;30,"UNDER 30 MINS",_xlfn.SINGLE(calls[Duration])&lt;60,"30 T0 60 MINS",_xlfn.SINGLE(calls[Duration])&lt;120,"1 TO 2 HRS",TRUE,"ABOVE 2 HRS")</f>
        <v>ABOVE 2 HRS</v>
      </c>
    </row>
    <row r="372" spans="1:14" x14ac:dyDescent="0.3">
      <c r="A372" t="s">
        <v>406</v>
      </c>
      <c r="B372" t="s">
        <v>45</v>
      </c>
      <c r="C372">
        <v>69</v>
      </c>
      <c r="D372" t="s">
        <v>29</v>
      </c>
      <c r="E372" s="1">
        <v>45032</v>
      </c>
      <c r="F372">
        <v>130</v>
      </c>
      <c r="G372">
        <v>1.9</v>
      </c>
      <c r="H372" t="str">
        <f>TEXT(calls[[#This Row],[Date of Call]],"DDDD")</f>
        <v>Sunday</v>
      </c>
      <c r="I372">
        <f>ROUND(calls[[#This Row],[Satisfaction Rating]],0)</f>
        <v>2</v>
      </c>
      <c r="N372" t="str" cm="1">
        <f t="array" ref="N372">_xlfn.IFS(_xlfn.SINGLE(calls[Duration])&lt;30,"UNDER 30 MINS",_xlfn.SINGLE(calls[Duration])&lt;60,"30 T0 60 MINS",_xlfn.SINGLE(calls[Duration])&lt;120,"1 TO 2 HRS",TRUE,"ABOVE 2 HRS")</f>
        <v>1 TO 2 HRS</v>
      </c>
    </row>
    <row r="373" spans="1:14" x14ac:dyDescent="0.3">
      <c r="A373" t="s">
        <v>407</v>
      </c>
      <c r="B373" t="s">
        <v>41</v>
      </c>
      <c r="C373">
        <v>110</v>
      </c>
      <c r="D373" t="s">
        <v>36</v>
      </c>
      <c r="E373" s="1">
        <v>45033</v>
      </c>
      <c r="F373">
        <v>21</v>
      </c>
      <c r="G373">
        <v>2.6</v>
      </c>
      <c r="H373" t="str">
        <f>TEXT(calls[[#This Row],[Date of Call]],"DDDD")</f>
        <v>Monday</v>
      </c>
      <c r="I373">
        <f>ROUND(calls[[#This Row],[Satisfaction Rating]],0)</f>
        <v>3</v>
      </c>
      <c r="N373" t="str" cm="1">
        <f t="array" ref="N373">_xlfn.IFS(_xlfn.SINGLE(calls[Duration])&lt;30,"UNDER 30 MINS",_xlfn.SINGLE(calls[Duration])&lt;60,"30 T0 60 MINS",_xlfn.SINGLE(calls[Duration])&lt;120,"1 TO 2 HRS",TRUE,"ABOVE 2 HRS")</f>
        <v>1 TO 2 HRS</v>
      </c>
    </row>
    <row r="374" spans="1:14" x14ac:dyDescent="0.3">
      <c r="A374" t="s">
        <v>408</v>
      </c>
      <c r="B374" t="s">
        <v>37</v>
      </c>
      <c r="C374">
        <v>64</v>
      </c>
      <c r="D374" t="s">
        <v>13</v>
      </c>
      <c r="E374" s="1">
        <v>45033</v>
      </c>
      <c r="F374">
        <v>88</v>
      </c>
      <c r="G374">
        <v>4.3</v>
      </c>
      <c r="H374" t="str">
        <f>TEXT(calls[[#This Row],[Date of Call]],"DDDD")</f>
        <v>Monday</v>
      </c>
      <c r="I374">
        <f>ROUND(calls[[#This Row],[Satisfaction Rating]],0)</f>
        <v>4</v>
      </c>
      <c r="N374" t="str" cm="1">
        <f t="array" ref="N374">_xlfn.IFS(_xlfn.SINGLE(calls[Duration])&lt;30,"UNDER 30 MINS",_xlfn.SINGLE(calls[Duration])&lt;60,"30 T0 60 MINS",_xlfn.SINGLE(calls[Duration])&lt;120,"1 TO 2 HRS",TRUE,"ABOVE 2 HRS")</f>
        <v>1 TO 2 HRS</v>
      </c>
    </row>
    <row r="375" spans="1:14" x14ac:dyDescent="0.3">
      <c r="A375" t="s">
        <v>409</v>
      </c>
      <c r="B375" t="s">
        <v>22</v>
      </c>
      <c r="C375">
        <v>105</v>
      </c>
      <c r="D375" t="s">
        <v>42</v>
      </c>
      <c r="E375" s="1">
        <v>45033</v>
      </c>
      <c r="F375">
        <v>35</v>
      </c>
      <c r="G375">
        <v>4.4000000000000004</v>
      </c>
      <c r="H375" t="str">
        <f>TEXT(calls[[#This Row],[Date of Call]],"DDDD")</f>
        <v>Monday</v>
      </c>
      <c r="I375">
        <f>ROUND(calls[[#This Row],[Satisfaction Rating]],0)</f>
        <v>4</v>
      </c>
      <c r="N375" t="str" cm="1">
        <f t="array" ref="N375">_xlfn.IFS(_xlfn.SINGLE(calls[Duration])&lt;30,"UNDER 30 MINS",_xlfn.SINGLE(calls[Duration])&lt;60,"30 T0 60 MINS",_xlfn.SINGLE(calls[Duration])&lt;120,"1 TO 2 HRS",TRUE,"ABOVE 2 HRS")</f>
        <v>1 TO 2 HRS</v>
      </c>
    </row>
    <row r="376" spans="1:14" x14ac:dyDescent="0.3">
      <c r="A376" t="s">
        <v>410</v>
      </c>
      <c r="B376" t="s">
        <v>37</v>
      </c>
      <c r="C376">
        <v>165</v>
      </c>
      <c r="D376" t="s">
        <v>23</v>
      </c>
      <c r="E376" s="1">
        <v>45033</v>
      </c>
      <c r="F376">
        <v>68</v>
      </c>
      <c r="G376">
        <v>4.3</v>
      </c>
      <c r="H376" t="str">
        <f>TEXT(calls[[#This Row],[Date of Call]],"DDDD")</f>
        <v>Monday</v>
      </c>
      <c r="I376">
        <f>ROUND(calls[[#This Row],[Satisfaction Rating]],0)</f>
        <v>4</v>
      </c>
      <c r="N376" t="str" cm="1">
        <f t="array" ref="N376">_xlfn.IFS(_xlfn.SINGLE(calls[Duration])&lt;30,"UNDER 30 MINS",_xlfn.SINGLE(calls[Duration])&lt;60,"30 T0 60 MINS",_xlfn.SINGLE(calls[Duration])&lt;120,"1 TO 2 HRS",TRUE,"ABOVE 2 HRS")</f>
        <v>ABOVE 2 HRS</v>
      </c>
    </row>
    <row r="377" spans="1:14" x14ac:dyDescent="0.3">
      <c r="A377" t="s">
        <v>411</v>
      </c>
      <c r="B377" t="s">
        <v>50</v>
      </c>
      <c r="C377">
        <v>125</v>
      </c>
      <c r="D377" t="s">
        <v>23</v>
      </c>
      <c r="E377" s="1">
        <v>45033</v>
      </c>
      <c r="F377">
        <v>148</v>
      </c>
      <c r="G377">
        <v>4.5</v>
      </c>
      <c r="H377" t="str">
        <f>TEXT(calls[[#This Row],[Date of Call]],"DDDD")</f>
        <v>Monday</v>
      </c>
      <c r="I377">
        <f>ROUND(calls[[#This Row],[Satisfaction Rating]],0)</f>
        <v>5</v>
      </c>
      <c r="N377" t="str" cm="1">
        <f t="array" ref="N377">_xlfn.IFS(_xlfn.SINGLE(calls[Duration])&lt;30,"UNDER 30 MINS",_xlfn.SINGLE(calls[Duration])&lt;60,"30 T0 60 MINS",_xlfn.SINGLE(calls[Duration])&lt;120,"1 TO 2 HRS",TRUE,"ABOVE 2 HRS")</f>
        <v>ABOVE 2 HRS</v>
      </c>
    </row>
    <row r="378" spans="1:14" x14ac:dyDescent="0.3">
      <c r="A378" t="s">
        <v>412</v>
      </c>
      <c r="B378" t="s">
        <v>22</v>
      </c>
      <c r="C378">
        <v>88</v>
      </c>
      <c r="D378" t="s">
        <v>13</v>
      </c>
      <c r="E378" s="1">
        <v>45034</v>
      </c>
      <c r="F378">
        <v>81</v>
      </c>
      <c r="G378">
        <v>4.2</v>
      </c>
      <c r="H378" t="str">
        <f>TEXT(calls[[#This Row],[Date of Call]],"DDDD")</f>
        <v>Tuesday</v>
      </c>
      <c r="I378">
        <f>ROUND(calls[[#This Row],[Satisfaction Rating]],0)</f>
        <v>4</v>
      </c>
      <c r="N378" t="str" cm="1">
        <f t="array" ref="N378">_xlfn.IFS(_xlfn.SINGLE(calls[Duration])&lt;30,"UNDER 30 MINS",_xlfn.SINGLE(calls[Duration])&lt;60,"30 T0 60 MINS",_xlfn.SINGLE(calls[Duration])&lt;120,"1 TO 2 HRS",TRUE,"ABOVE 2 HRS")</f>
        <v>1 TO 2 HRS</v>
      </c>
    </row>
    <row r="379" spans="1:14" x14ac:dyDescent="0.3">
      <c r="A379" t="s">
        <v>413</v>
      </c>
      <c r="B379" t="s">
        <v>45</v>
      </c>
      <c r="C379">
        <v>6</v>
      </c>
      <c r="D379" t="s">
        <v>13</v>
      </c>
      <c r="E379" s="1">
        <v>45034</v>
      </c>
      <c r="F379">
        <v>75</v>
      </c>
      <c r="G379">
        <v>3.9</v>
      </c>
      <c r="H379" t="str">
        <f>TEXT(calls[[#This Row],[Date of Call]],"DDDD")</f>
        <v>Tuesday</v>
      </c>
      <c r="I379">
        <f>ROUND(calls[[#This Row],[Satisfaction Rating]],0)</f>
        <v>4</v>
      </c>
      <c r="N379" t="str" cm="1">
        <f t="array" ref="N379">_xlfn.IFS(_xlfn.SINGLE(calls[Duration])&lt;30,"UNDER 30 MINS",_xlfn.SINGLE(calls[Duration])&lt;60,"30 T0 60 MINS",_xlfn.SINGLE(calls[Duration])&lt;120,"1 TO 2 HRS",TRUE,"ABOVE 2 HRS")</f>
        <v>UNDER 30 MINS</v>
      </c>
    </row>
    <row r="380" spans="1:14" x14ac:dyDescent="0.3">
      <c r="A380" t="s">
        <v>414</v>
      </c>
      <c r="B380" t="s">
        <v>39</v>
      </c>
      <c r="C380">
        <v>69</v>
      </c>
      <c r="D380" t="s">
        <v>29</v>
      </c>
      <c r="E380" s="1">
        <v>45035</v>
      </c>
      <c r="F380">
        <v>32</v>
      </c>
      <c r="G380">
        <v>3.6</v>
      </c>
      <c r="H380" t="str">
        <f>TEXT(calls[[#This Row],[Date of Call]],"DDDD")</f>
        <v>Wednesday</v>
      </c>
      <c r="I380">
        <f>ROUND(calls[[#This Row],[Satisfaction Rating]],0)</f>
        <v>4</v>
      </c>
      <c r="N380" t="str" cm="1">
        <f t="array" ref="N380">_xlfn.IFS(_xlfn.SINGLE(calls[Duration])&lt;30,"UNDER 30 MINS",_xlfn.SINGLE(calls[Duration])&lt;60,"30 T0 60 MINS",_xlfn.SINGLE(calls[Duration])&lt;120,"1 TO 2 HRS",TRUE,"ABOVE 2 HRS")</f>
        <v>1 TO 2 HRS</v>
      </c>
    </row>
    <row r="381" spans="1:14" x14ac:dyDescent="0.3">
      <c r="A381" t="s">
        <v>415</v>
      </c>
      <c r="B381" t="s">
        <v>14</v>
      </c>
      <c r="C381">
        <v>107</v>
      </c>
      <c r="D381" t="s">
        <v>29</v>
      </c>
      <c r="E381" s="1">
        <v>45035</v>
      </c>
      <c r="F381">
        <v>156</v>
      </c>
      <c r="G381">
        <v>3.8</v>
      </c>
      <c r="H381" t="str">
        <f>TEXT(calls[[#This Row],[Date of Call]],"DDDD")</f>
        <v>Wednesday</v>
      </c>
      <c r="I381">
        <f>ROUND(calls[[#This Row],[Satisfaction Rating]],0)</f>
        <v>4</v>
      </c>
      <c r="N381" t="str" cm="1">
        <f t="array" ref="N381">_xlfn.IFS(_xlfn.SINGLE(calls[Duration])&lt;30,"UNDER 30 MINS",_xlfn.SINGLE(calls[Duration])&lt;60,"30 T0 60 MINS",_xlfn.SINGLE(calls[Duration])&lt;120,"1 TO 2 HRS",TRUE,"ABOVE 2 HRS")</f>
        <v>1 TO 2 HRS</v>
      </c>
    </row>
    <row r="382" spans="1:14" x14ac:dyDescent="0.3">
      <c r="A382" t="s">
        <v>416</v>
      </c>
      <c r="B382" t="s">
        <v>18</v>
      </c>
      <c r="C382">
        <v>90</v>
      </c>
      <c r="D382" t="s">
        <v>23</v>
      </c>
      <c r="E382" s="1">
        <v>45035</v>
      </c>
      <c r="F382">
        <v>99</v>
      </c>
      <c r="G382">
        <v>4.9000000000000004</v>
      </c>
      <c r="H382" t="str">
        <f>TEXT(calls[[#This Row],[Date of Call]],"DDDD")</f>
        <v>Wednesday</v>
      </c>
      <c r="I382">
        <f>ROUND(calls[[#This Row],[Satisfaction Rating]],0)</f>
        <v>5</v>
      </c>
      <c r="N382" t="str" cm="1">
        <f t="array" ref="N382">_xlfn.IFS(_xlfn.SINGLE(calls[Duration])&lt;30,"UNDER 30 MINS",_xlfn.SINGLE(calls[Duration])&lt;60,"30 T0 60 MINS",_xlfn.SINGLE(calls[Duration])&lt;120,"1 TO 2 HRS",TRUE,"ABOVE 2 HRS")</f>
        <v>1 TO 2 HRS</v>
      </c>
    </row>
    <row r="383" spans="1:14" x14ac:dyDescent="0.3">
      <c r="A383" t="s">
        <v>417</v>
      </c>
      <c r="B383" t="s">
        <v>12</v>
      </c>
      <c r="C383">
        <v>120</v>
      </c>
      <c r="D383" t="s">
        <v>42</v>
      </c>
      <c r="E383" s="1">
        <v>45035</v>
      </c>
      <c r="F383">
        <v>26</v>
      </c>
      <c r="G383">
        <v>4</v>
      </c>
      <c r="H383" t="str">
        <f>TEXT(calls[[#This Row],[Date of Call]],"DDDD")</f>
        <v>Wednesday</v>
      </c>
      <c r="I383">
        <f>ROUND(calls[[#This Row],[Satisfaction Rating]],0)</f>
        <v>4</v>
      </c>
      <c r="N383" t="str" cm="1">
        <f t="array" ref="N383">_xlfn.IFS(_xlfn.SINGLE(calls[Duration])&lt;30,"UNDER 30 MINS",_xlfn.SINGLE(calls[Duration])&lt;60,"30 T0 60 MINS",_xlfn.SINGLE(calls[Duration])&lt;120,"1 TO 2 HRS",TRUE,"ABOVE 2 HRS")</f>
        <v>ABOVE 2 HRS</v>
      </c>
    </row>
    <row r="384" spans="1:14" x14ac:dyDescent="0.3">
      <c r="A384" t="s">
        <v>418</v>
      </c>
      <c r="B384" t="s">
        <v>28</v>
      </c>
      <c r="C384">
        <v>47</v>
      </c>
      <c r="D384" t="s">
        <v>29</v>
      </c>
      <c r="E384" s="1">
        <v>45035</v>
      </c>
      <c r="F384">
        <v>84</v>
      </c>
      <c r="G384">
        <v>4.0999999999999996</v>
      </c>
      <c r="H384" t="str">
        <f>TEXT(calls[[#This Row],[Date of Call]],"DDDD")</f>
        <v>Wednesday</v>
      </c>
      <c r="I384">
        <f>ROUND(calls[[#This Row],[Satisfaction Rating]],0)</f>
        <v>4</v>
      </c>
      <c r="N384" t="str" cm="1">
        <f t="array" ref="N384">_xlfn.IFS(_xlfn.SINGLE(calls[Duration])&lt;30,"UNDER 30 MINS",_xlfn.SINGLE(calls[Duration])&lt;60,"30 T0 60 MINS",_xlfn.SINGLE(calls[Duration])&lt;120,"1 TO 2 HRS",TRUE,"ABOVE 2 HRS")</f>
        <v>30 T0 60 MINS</v>
      </c>
    </row>
    <row r="385" spans="1:14" x14ac:dyDescent="0.3">
      <c r="A385" t="s">
        <v>419</v>
      </c>
      <c r="B385" t="s">
        <v>26</v>
      </c>
      <c r="C385">
        <v>60</v>
      </c>
      <c r="D385" t="s">
        <v>42</v>
      </c>
      <c r="E385" s="1">
        <v>45035</v>
      </c>
      <c r="F385">
        <v>84</v>
      </c>
      <c r="G385">
        <v>4.8</v>
      </c>
      <c r="H385" t="str">
        <f>TEXT(calls[[#This Row],[Date of Call]],"DDDD")</f>
        <v>Wednesday</v>
      </c>
      <c r="I385">
        <f>ROUND(calls[[#This Row],[Satisfaction Rating]],0)</f>
        <v>5</v>
      </c>
      <c r="N385" t="str" cm="1">
        <f t="array" ref="N385">_xlfn.IFS(_xlfn.SINGLE(calls[Duration])&lt;30,"UNDER 30 MINS",_xlfn.SINGLE(calls[Duration])&lt;60,"30 T0 60 MINS",_xlfn.SINGLE(calls[Duration])&lt;120,"1 TO 2 HRS",TRUE,"ABOVE 2 HRS")</f>
        <v>1 TO 2 HRS</v>
      </c>
    </row>
    <row r="386" spans="1:14" x14ac:dyDescent="0.3">
      <c r="A386" t="s">
        <v>420</v>
      </c>
      <c r="B386" t="s">
        <v>31</v>
      </c>
      <c r="C386">
        <v>64</v>
      </c>
      <c r="D386" t="s">
        <v>23</v>
      </c>
      <c r="E386" s="1">
        <v>45035</v>
      </c>
      <c r="F386">
        <v>170</v>
      </c>
      <c r="G386">
        <v>2.2999999999999998</v>
      </c>
      <c r="H386" t="str">
        <f>TEXT(calls[[#This Row],[Date of Call]],"DDDD")</f>
        <v>Wednesday</v>
      </c>
      <c r="I386">
        <f>ROUND(calls[[#This Row],[Satisfaction Rating]],0)</f>
        <v>2</v>
      </c>
      <c r="N386" t="str" cm="1">
        <f t="array" ref="N386">_xlfn.IFS(_xlfn.SINGLE(calls[Duration])&lt;30,"UNDER 30 MINS",_xlfn.SINGLE(calls[Duration])&lt;60,"30 T0 60 MINS",_xlfn.SINGLE(calls[Duration])&lt;120,"1 TO 2 HRS",TRUE,"ABOVE 2 HRS")</f>
        <v>1 TO 2 HRS</v>
      </c>
    </row>
    <row r="387" spans="1:14" x14ac:dyDescent="0.3">
      <c r="A387" t="s">
        <v>421</v>
      </c>
      <c r="B387" t="s">
        <v>37</v>
      </c>
      <c r="C387">
        <v>62</v>
      </c>
      <c r="D387" t="s">
        <v>29</v>
      </c>
      <c r="E387" s="1">
        <v>45035</v>
      </c>
      <c r="F387">
        <v>35</v>
      </c>
      <c r="G387">
        <v>4.4000000000000004</v>
      </c>
      <c r="H387" t="str">
        <f>TEXT(calls[[#This Row],[Date of Call]],"DDDD")</f>
        <v>Wednesday</v>
      </c>
      <c r="I387">
        <f>ROUND(calls[[#This Row],[Satisfaction Rating]],0)</f>
        <v>4</v>
      </c>
      <c r="N387" t="str" cm="1">
        <f t="array" ref="N387">_xlfn.IFS(_xlfn.SINGLE(calls[Duration])&lt;30,"UNDER 30 MINS",_xlfn.SINGLE(calls[Duration])&lt;60,"30 T0 60 MINS",_xlfn.SINGLE(calls[Duration])&lt;120,"1 TO 2 HRS",TRUE,"ABOVE 2 HRS")</f>
        <v>1 TO 2 HRS</v>
      </c>
    </row>
    <row r="388" spans="1:14" x14ac:dyDescent="0.3">
      <c r="A388" t="s">
        <v>422</v>
      </c>
      <c r="B388" t="s">
        <v>41</v>
      </c>
      <c r="C388">
        <v>88</v>
      </c>
      <c r="D388" t="s">
        <v>29</v>
      </c>
      <c r="E388" s="1">
        <v>45036</v>
      </c>
      <c r="F388">
        <v>35</v>
      </c>
      <c r="G388">
        <v>3.8</v>
      </c>
      <c r="H388" t="str">
        <f>TEXT(calls[[#This Row],[Date of Call]],"DDDD")</f>
        <v>Thursday</v>
      </c>
      <c r="I388">
        <f>ROUND(calls[[#This Row],[Satisfaction Rating]],0)</f>
        <v>4</v>
      </c>
      <c r="N388" t="str" cm="1">
        <f t="array" ref="N388">_xlfn.IFS(_xlfn.SINGLE(calls[Duration])&lt;30,"UNDER 30 MINS",_xlfn.SINGLE(calls[Duration])&lt;60,"30 T0 60 MINS",_xlfn.SINGLE(calls[Duration])&lt;120,"1 TO 2 HRS",TRUE,"ABOVE 2 HRS")</f>
        <v>1 TO 2 HRS</v>
      </c>
    </row>
    <row r="389" spans="1:14" x14ac:dyDescent="0.3">
      <c r="A389" t="s">
        <v>423</v>
      </c>
      <c r="B389" t="s">
        <v>50</v>
      </c>
      <c r="C389">
        <v>116</v>
      </c>
      <c r="D389" t="s">
        <v>29</v>
      </c>
      <c r="E389" s="1">
        <v>45036</v>
      </c>
      <c r="F389">
        <v>132</v>
      </c>
      <c r="G389">
        <v>5</v>
      </c>
      <c r="H389" t="str">
        <f>TEXT(calls[[#This Row],[Date of Call]],"DDDD")</f>
        <v>Thursday</v>
      </c>
      <c r="I389">
        <f>ROUND(calls[[#This Row],[Satisfaction Rating]],0)</f>
        <v>5</v>
      </c>
      <c r="N389" t="str" cm="1">
        <f t="array" ref="N389">_xlfn.IFS(_xlfn.SINGLE(calls[Duration])&lt;30,"UNDER 30 MINS",_xlfn.SINGLE(calls[Duration])&lt;60,"30 T0 60 MINS",_xlfn.SINGLE(calls[Duration])&lt;120,"1 TO 2 HRS",TRUE,"ABOVE 2 HRS")</f>
        <v>1 TO 2 HRS</v>
      </c>
    </row>
    <row r="390" spans="1:14" x14ac:dyDescent="0.3">
      <c r="A390" t="s">
        <v>424</v>
      </c>
      <c r="B390" t="s">
        <v>18</v>
      </c>
      <c r="C390">
        <v>82</v>
      </c>
      <c r="D390" t="s">
        <v>13</v>
      </c>
      <c r="E390" s="1">
        <v>45037</v>
      </c>
      <c r="F390">
        <v>144</v>
      </c>
      <c r="G390">
        <v>3.3</v>
      </c>
      <c r="H390" t="str">
        <f>TEXT(calls[[#This Row],[Date of Call]],"DDDD")</f>
        <v>Friday</v>
      </c>
      <c r="I390">
        <f>ROUND(calls[[#This Row],[Satisfaction Rating]],0)</f>
        <v>3</v>
      </c>
      <c r="N390" t="str" cm="1">
        <f t="array" ref="N390">_xlfn.IFS(_xlfn.SINGLE(calls[Duration])&lt;30,"UNDER 30 MINS",_xlfn.SINGLE(calls[Duration])&lt;60,"30 T0 60 MINS",_xlfn.SINGLE(calls[Duration])&lt;120,"1 TO 2 HRS",TRUE,"ABOVE 2 HRS")</f>
        <v>1 TO 2 HRS</v>
      </c>
    </row>
    <row r="391" spans="1:14" x14ac:dyDescent="0.3">
      <c r="A391" t="s">
        <v>425</v>
      </c>
      <c r="B391" t="s">
        <v>37</v>
      </c>
      <c r="C391">
        <v>99</v>
      </c>
      <c r="D391" t="s">
        <v>23</v>
      </c>
      <c r="E391" s="1">
        <v>45037</v>
      </c>
      <c r="F391">
        <v>48</v>
      </c>
      <c r="G391">
        <v>5</v>
      </c>
      <c r="H391" t="str">
        <f>TEXT(calls[[#This Row],[Date of Call]],"DDDD")</f>
        <v>Friday</v>
      </c>
      <c r="I391">
        <f>ROUND(calls[[#This Row],[Satisfaction Rating]],0)</f>
        <v>5</v>
      </c>
      <c r="N391" t="str" cm="1">
        <f t="array" ref="N391">_xlfn.IFS(_xlfn.SINGLE(calls[Duration])&lt;30,"UNDER 30 MINS",_xlfn.SINGLE(calls[Duration])&lt;60,"30 T0 60 MINS",_xlfn.SINGLE(calls[Duration])&lt;120,"1 TO 2 HRS",TRUE,"ABOVE 2 HRS")</f>
        <v>1 TO 2 HRS</v>
      </c>
    </row>
    <row r="392" spans="1:14" x14ac:dyDescent="0.3">
      <c r="A392" t="s">
        <v>426</v>
      </c>
      <c r="B392" t="s">
        <v>37</v>
      </c>
      <c r="C392">
        <v>55</v>
      </c>
      <c r="D392" t="s">
        <v>13</v>
      </c>
      <c r="E392" s="1">
        <v>45037</v>
      </c>
      <c r="F392">
        <v>200</v>
      </c>
      <c r="G392">
        <v>2.2999999999999998</v>
      </c>
      <c r="H392" t="str">
        <f>TEXT(calls[[#This Row],[Date of Call]],"DDDD")</f>
        <v>Friday</v>
      </c>
      <c r="I392">
        <f>ROUND(calls[[#This Row],[Satisfaction Rating]],0)</f>
        <v>2</v>
      </c>
      <c r="N392" t="str" cm="1">
        <f t="array" ref="N392">_xlfn.IFS(_xlfn.SINGLE(calls[Duration])&lt;30,"UNDER 30 MINS",_xlfn.SINGLE(calls[Duration])&lt;60,"30 T0 60 MINS",_xlfn.SINGLE(calls[Duration])&lt;120,"1 TO 2 HRS",TRUE,"ABOVE 2 HRS")</f>
        <v>30 T0 60 MINS</v>
      </c>
    </row>
    <row r="393" spans="1:14" x14ac:dyDescent="0.3">
      <c r="A393" t="s">
        <v>427</v>
      </c>
      <c r="B393" t="s">
        <v>31</v>
      </c>
      <c r="C393">
        <v>61</v>
      </c>
      <c r="D393" t="s">
        <v>42</v>
      </c>
      <c r="E393" s="1">
        <v>45037</v>
      </c>
      <c r="F393">
        <v>38</v>
      </c>
      <c r="G393">
        <v>4.8</v>
      </c>
      <c r="H393" t="str">
        <f>TEXT(calls[[#This Row],[Date of Call]],"DDDD")</f>
        <v>Friday</v>
      </c>
      <c r="I393">
        <f>ROUND(calls[[#This Row],[Satisfaction Rating]],0)</f>
        <v>5</v>
      </c>
      <c r="N393" t="str" cm="1">
        <f t="array" ref="N393">_xlfn.IFS(_xlfn.SINGLE(calls[Duration])&lt;30,"UNDER 30 MINS",_xlfn.SINGLE(calls[Duration])&lt;60,"30 T0 60 MINS",_xlfn.SINGLE(calls[Duration])&lt;120,"1 TO 2 HRS",TRUE,"ABOVE 2 HRS")</f>
        <v>1 TO 2 HRS</v>
      </c>
    </row>
    <row r="394" spans="1:14" x14ac:dyDescent="0.3">
      <c r="A394" t="s">
        <v>428</v>
      </c>
      <c r="B394" t="s">
        <v>50</v>
      </c>
      <c r="C394">
        <v>36</v>
      </c>
      <c r="D394" t="s">
        <v>36</v>
      </c>
      <c r="E394" s="1">
        <v>45037</v>
      </c>
      <c r="F394">
        <v>81</v>
      </c>
      <c r="G394">
        <v>3.7</v>
      </c>
      <c r="H394" t="str">
        <f>TEXT(calls[[#This Row],[Date of Call]],"DDDD")</f>
        <v>Friday</v>
      </c>
      <c r="I394">
        <f>ROUND(calls[[#This Row],[Satisfaction Rating]],0)</f>
        <v>4</v>
      </c>
      <c r="N394" t="str" cm="1">
        <f t="array" ref="N394">_xlfn.IFS(_xlfn.SINGLE(calls[Duration])&lt;30,"UNDER 30 MINS",_xlfn.SINGLE(calls[Duration])&lt;60,"30 T0 60 MINS",_xlfn.SINGLE(calls[Duration])&lt;120,"1 TO 2 HRS",TRUE,"ABOVE 2 HRS")</f>
        <v>30 T0 60 MINS</v>
      </c>
    </row>
    <row r="395" spans="1:14" x14ac:dyDescent="0.3">
      <c r="A395" t="s">
        <v>429</v>
      </c>
      <c r="B395" t="s">
        <v>18</v>
      </c>
      <c r="C395">
        <v>123</v>
      </c>
      <c r="D395" t="s">
        <v>29</v>
      </c>
      <c r="E395" s="1">
        <v>45037</v>
      </c>
      <c r="F395">
        <v>120</v>
      </c>
      <c r="G395">
        <v>4.2</v>
      </c>
      <c r="H395" t="str">
        <f>TEXT(calls[[#This Row],[Date of Call]],"DDDD")</f>
        <v>Friday</v>
      </c>
      <c r="I395">
        <f>ROUND(calls[[#This Row],[Satisfaction Rating]],0)</f>
        <v>4</v>
      </c>
      <c r="N395" t="str" cm="1">
        <f t="array" ref="N395">_xlfn.IFS(_xlfn.SINGLE(calls[Duration])&lt;30,"UNDER 30 MINS",_xlfn.SINGLE(calls[Duration])&lt;60,"30 T0 60 MINS",_xlfn.SINGLE(calls[Duration])&lt;120,"1 TO 2 HRS",TRUE,"ABOVE 2 HRS")</f>
        <v>ABOVE 2 HRS</v>
      </c>
    </row>
    <row r="396" spans="1:14" x14ac:dyDescent="0.3">
      <c r="A396" t="s">
        <v>430</v>
      </c>
      <c r="B396" t="s">
        <v>19</v>
      </c>
      <c r="C396">
        <v>24</v>
      </c>
      <c r="D396" t="s">
        <v>42</v>
      </c>
      <c r="E396" s="1">
        <v>45037</v>
      </c>
      <c r="F396">
        <v>74</v>
      </c>
      <c r="G396">
        <v>4.8</v>
      </c>
      <c r="H396" t="str">
        <f>TEXT(calls[[#This Row],[Date of Call]],"DDDD")</f>
        <v>Friday</v>
      </c>
      <c r="I396">
        <f>ROUND(calls[[#This Row],[Satisfaction Rating]],0)</f>
        <v>5</v>
      </c>
      <c r="N396" t="str" cm="1">
        <f t="array" ref="N396">_xlfn.IFS(_xlfn.SINGLE(calls[Duration])&lt;30,"UNDER 30 MINS",_xlfn.SINGLE(calls[Duration])&lt;60,"30 T0 60 MINS",_xlfn.SINGLE(calls[Duration])&lt;120,"1 TO 2 HRS",TRUE,"ABOVE 2 HRS")</f>
        <v>UNDER 30 MINS</v>
      </c>
    </row>
    <row r="397" spans="1:14" x14ac:dyDescent="0.3">
      <c r="A397" t="s">
        <v>431</v>
      </c>
      <c r="B397" t="s">
        <v>18</v>
      </c>
      <c r="C397">
        <v>43</v>
      </c>
      <c r="D397" t="s">
        <v>29</v>
      </c>
      <c r="E397" s="1">
        <v>45038</v>
      </c>
      <c r="F397">
        <v>128</v>
      </c>
      <c r="G397">
        <v>4.7</v>
      </c>
      <c r="H397" t="str">
        <f>TEXT(calls[[#This Row],[Date of Call]],"DDDD")</f>
        <v>Saturday</v>
      </c>
      <c r="I397">
        <f>ROUND(calls[[#This Row],[Satisfaction Rating]],0)</f>
        <v>5</v>
      </c>
      <c r="N397" t="str" cm="1">
        <f t="array" ref="N397">_xlfn.IFS(_xlfn.SINGLE(calls[Duration])&lt;30,"UNDER 30 MINS",_xlfn.SINGLE(calls[Duration])&lt;60,"30 T0 60 MINS",_xlfn.SINGLE(calls[Duration])&lt;120,"1 TO 2 HRS",TRUE,"ABOVE 2 HRS")</f>
        <v>30 T0 60 MINS</v>
      </c>
    </row>
    <row r="398" spans="1:14" x14ac:dyDescent="0.3">
      <c r="A398" t="s">
        <v>432</v>
      </c>
      <c r="B398" t="s">
        <v>26</v>
      </c>
      <c r="C398">
        <v>95</v>
      </c>
      <c r="D398" t="s">
        <v>23</v>
      </c>
      <c r="E398" s="1">
        <v>45038</v>
      </c>
      <c r="F398">
        <v>21</v>
      </c>
      <c r="G398">
        <v>3.9</v>
      </c>
      <c r="H398" t="str">
        <f>TEXT(calls[[#This Row],[Date of Call]],"DDDD")</f>
        <v>Saturday</v>
      </c>
      <c r="I398">
        <f>ROUND(calls[[#This Row],[Satisfaction Rating]],0)</f>
        <v>4</v>
      </c>
      <c r="N398" t="str" cm="1">
        <f t="array" ref="N398">_xlfn.IFS(_xlfn.SINGLE(calls[Duration])&lt;30,"UNDER 30 MINS",_xlfn.SINGLE(calls[Duration])&lt;60,"30 T0 60 MINS",_xlfn.SINGLE(calls[Duration])&lt;120,"1 TO 2 HRS",TRUE,"ABOVE 2 HRS")</f>
        <v>1 TO 2 HRS</v>
      </c>
    </row>
    <row r="399" spans="1:14" x14ac:dyDescent="0.3">
      <c r="A399" t="s">
        <v>433</v>
      </c>
      <c r="B399" t="s">
        <v>37</v>
      </c>
      <c r="C399">
        <v>53</v>
      </c>
      <c r="D399" t="s">
        <v>29</v>
      </c>
      <c r="E399" s="1">
        <v>45038</v>
      </c>
      <c r="F399">
        <v>110</v>
      </c>
      <c r="G399">
        <v>4.3</v>
      </c>
      <c r="H399" t="str">
        <f>TEXT(calls[[#This Row],[Date of Call]],"DDDD")</f>
        <v>Saturday</v>
      </c>
      <c r="I399">
        <f>ROUND(calls[[#This Row],[Satisfaction Rating]],0)</f>
        <v>4</v>
      </c>
      <c r="N399" t="str" cm="1">
        <f t="array" ref="N399">_xlfn.IFS(_xlfn.SINGLE(calls[Duration])&lt;30,"UNDER 30 MINS",_xlfn.SINGLE(calls[Duration])&lt;60,"30 T0 60 MINS",_xlfn.SINGLE(calls[Duration])&lt;120,"1 TO 2 HRS",TRUE,"ABOVE 2 HRS")</f>
        <v>30 T0 60 MINS</v>
      </c>
    </row>
    <row r="400" spans="1:14" x14ac:dyDescent="0.3">
      <c r="A400" t="s">
        <v>434</v>
      </c>
      <c r="B400" t="s">
        <v>18</v>
      </c>
      <c r="C400">
        <v>113</v>
      </c>
      <c r="D400" t="s">
        <v>29</v>
      </c>
      <c r="E400" s="1">
        <v>45038</v>
      </c>
      <c r="F400">
        <v>145</v>
      </c>
      <c r="G400">
        <v>4</v>
      </c>
      <c r="H400" t="str">
        <f>TEXT(calls[[#This Row],[Date of Call]],"DDDD")</f>
        <v>Saturday</v>
      </c>
      <c r="I400">
        <f>ROUND(calls[[#This Row],[Satisfaction Rating]],0)</f>
        <v>4</v>
      </c>
      <c r="N400" t="str" cm="1">
        <f t="array" ref="N400">_xlfn.IFS(_xlfn.SINGLE(calls[Duration])&lt;30,"UNDER 30 MINS",_xlfn.SINGLE(calls[Duration])&lt;60,"30 T0 60 MINS",_xlfn.SINGLE(calls[Duration])&lt;120,"1 TO 2 HRS",TRUE,"ABOVE 2 HRS")</f>
        <v>1 TO 2 HRS</v>
      </c>
    </row>
    <row r="401" spans="1:14" x14ac:dyDescent="0.3">
      <c r="A401" t="s">
        <v>435</v>
      </c>
      <c r="B401" t="s">
        <v>37</v>
      </c>
      <c r="C401">
        <v>89</v>
      </c>
      <c r="D401" t="s">
        <v>36</v>
      </c>
      <c r="E401" s="1">
        <v>45038</v>
      </c>
      <c r="F401">
        <v>129</v>
      </c>
      <c r="G401">
        <v>4</v>
      </c>
      <c r="H401" t="str">
        <f>TEXT(calls[[#This Row],[Date of Call]],"DDDD")</f>
        <v>Saturday</v>
      </c>
      <c r="I401">
        <f>ROUND(calls[[#This Row],[Satisfaction Rating]],0)</f>
        <v>4</v>
      </c>
      <c r="N401" t="str" cm="1">
        <f t="array" ref="N401">_xlfn.IFS(_xlfn.SINGLE(calls[Duration])&lt;30,"UNDER 30 MINS",_xlfn.SINGLE(calls[Duration])&lt;60,"30 T0 60 MINS",_xlfn.SINGLE(calls[Duration])&lt;120,"1 TO 2 HRS",TRUE,"ABOVE 2 HRS")</f>
        <v>1 TO 2 HRS</v>
      </c>
    </row>
    <row r="402" spans="1:14" x14ac:dyDescent="0.3">
      <c r="A402" t="s">
        <v>436</v>
      </c>
      <c r="B402" t="s">
        <v>41</v>
      </c>
      <c r="C402">
        <v>84</v>
      </c>
      <c r="D402" t="s">
        <v>13</v>
      </c>
      <c r="E402" s="1">
        <v>45038</v>
      </c>
      <c r="F402">
        <v>156</v>
      </c>
      <c r="G402">
        <v>3.2</v>
      </c>
      <c r="H402" t="str">
        <f>TEXT(calls[[#This Row],[Date of Call]],"DDDD")</f>
        <v>Saturday</v>
      </c>
      <c r="I402">
        <f>ROUND(calls[[#This Row],[Satisfaction Rating]],0)</f>
        <v>3</v>
      </c>
      <c r="N402" t="str" cm="1">
        <f t="array" ref="N402">_xlfn.IFS(_xlfn.SINGLE(calls[Duration])&lt;30,"UNDER 30 MINS",_xlfn.SINGLE(calls[Duration])&lt;60,"30 T0 60 MINS",_xlfn.SINGLE(calls[Duration])&lt;120,"1 TO 2 HRS",TRUE,"ABOVE 2 HRS")</f>
        <v>1 TO 2 HRS</v>
      </c>
    </row>
    <row r="403" spans="1:14" x14ac:dyDescent="0.3">
      <c r="A403" t="s">
        <v>437</v>
      </c>
      <c r="B403" t="s">
        <v>19</v>
      </c>
      <c r="C403">
        <v>130</v>
      </c>
      <c r="D403" t="s">
        <v>29</v>
      </c>
      <c r="E403" s="1">
        <v>45039</v>
      </c>
      <c r="F403">
        <v>120</v>
      </c>
      <c r="G403">
        <v>3.8</v>
      </c>
      <c r="H403" t="str">
        <f>TEXT(calls[[#This Row],[Date of Call]],"DDDD")</f>
        <v>Sunday</v>
      </c>
      <c r="I403">
        <f>ROUND(calls[[#This Row],[Satisfaction Rating]],0)</f>
        <v>4</v>
      </c>
      <c r="N403" t="str" cm="1">
        <f t="array" ref="N403">_xlfn.IFS(_xlfn.SINGLE(calls[Duration])&lt;30,"UNDER 30 MINS",_xlfn.SINGLE(calls[Duration])&lt;60,"30 T0 60 MINS",_xlfn.SINGLE(calls[Duration])&lt;120,"1 TO 2 HRS",TRUE,"ABOVE 2 HRS")</f>
        <v>ABOVE 2 HRS</v>
      </c>
    </row>
    <row r="404" spans="1:14" x14ac:dyDescent="0.3">
      <c r="A404" t="s">
        <v>438</v>
      </c>
      <c r="B404" t="s">
        <v>26</v>
      </c>
      <c r="C404">
        <v>163</v>
      </c>
      <c r="D404" t="s">
        <v>36</v>
      </c>
      <c r="E404" s="1">
        <v>45039</v>
      </c>
      <c r="F404">
        <v>62</v>
      </c>
      <c r="G404">
        <v>3.4</v>
      </c>
      <c r="H404" t="str">
        <f>TEXT(calls[[#This Row],[Date of Call]],"DDDD")</f>
        <v>Sunday</v>
      </c>
      <c r="I404">
        <f>ROUND(calls[[#This Row],[Satisfaction Rating]],0)</f>
        <v>3</v>
      </c>
      <c r="N404" t="str" cm="1">
        <f t="array" ref="N404">_xlfn.IFS(_xlfn.SINGLE(calls[Duration])&lt;30,"UNDER 30 MINS",_xlfn.SINGLE(calls[Duration])&lt;60,"30 T0 60 MINS",_xlfn.SINGLE(calls[Duration])&lt;120,"1 TO 2 HRS",TRUE,"ABOVE 2 HRS")</f>
        <v>ABOVE 2 HRS</v>
      </c>
    </row>
    <row r="405" spans="1:14" x14ac:dyDescent="0.3">
      <c r="A405" t="s">
        <v>439</v>
      </c>
      <c r="B405" t="s">
        <v>39</v>
      </c>
      <c r="C405">
        <v>127</v>
      </c>
      <c r="D405" t="s">
        <v>29</v>
      </c>
      <c r="E405" s="1">
        <v>45039</v>
      </c>
      <c r="F405">
        <v>160</v>
      </c>
      <c r="G405">
        <v>3.2</v>
      </c>
      <c r="H405" t="str">
        <f>TEXT(calls[[#This Row],[Date of Call]],"DDDD")</f>
        <v>Sunday</v>
      </c>
      <c r="I405">
        <f>ROUND(calls[[#This Row],[Satisfaction Rating]],0)</f>
        <v>3</v>
      </c>
      <c r="N405" t="str" cm="1">
        <f t="array" ref="N405">_xlfn.IFS(_xlfn.SINGLE(calls[Duration])&lt;30,"UNDER 30 MINS",_xlfn.SINGLE(calls[Duration])&lt;60,"30 T0 60 MINS",_xlfn.SINGLE(calls[Duration])&lt;120,"1 TO 2 HRS",TRUE,"ABOVE 2 HRS")</f>
        <v>ABOVE 2 HRS</v>
      </c>
    </row>
    <row r="406" spans="1:14" x14ac:dyDescent="0.3">
      <c r="A406" t="s">
        <v>440</v>
      </c>
      <c r="B406" t="s">
        <v>18</v>
      </c>
      <c r="C406">
        <v>50</v>
      </c>
      <c r="D406" t="s">
        <v>29</v>
      </c>
      <c r="E406" s="1">
        <v>45039</v>
      </c>
      <c r="F406">
        <v>56</v>
      </c>
      <c r="G406">
        <v>4.7</v>
      </c>
      <c r="H406" t="str">
        <f>TEXT(calls[[#This Row],[Date of Call]],"DDDD")</f>
        <v>Sunday</v>
      </c>
      <c r="I406">
        <f>ROUND(calls[[#This Row],[Satisfaction Rating]],0)</f>
        <v>5</v>
      </c>
      <c r="N406" t="str" cm="1">
        <f t="array" ref="N406">_xlfn.IFS(_xlfn.SINGLE(calls[Duration])&lt;30,"UNDER 30 MINS",_xlfn.SINGLE(calls[Duration])&lt;60,"30 T0 60 MINS",_xlfn.SINGLE(calls[Duration])&lt;120,"1 TO 2 HRS",TRUE,"ABOVE 2 HRS")</f>
        <v>30 T0 60 MINS</v>
      </c>
    </row>
    <row r="407" spans="1:14" x14ac:dyDescent="0.3">
      <c r="A407" t="s">
        <v>441</v>
      </c>
      <c r="B407" t="s">
        <v>33</v>
      </c>
      <c r="C407">
        <v>88</v>
      </c>
      <c r="D407" t="s">
        <v>42</v>
      </c>
      <c r="E407" s="1">
        <v>45039</v>
      </c>
      <c r="F407">
        <v>72</v>
      </c>
      <c r="G407">
        <v>4</v>
      </c>
      <c r="H407" t="str">
        <f>TEXT(calls[[#This Row],[Date of Call]],"DDDD")</f>
        <v>Sunday</v>
      </c>
      <c r="I407">
        <f>ROUND(calls[[#This Row],[Satisfaction Rating]],0)</f>
        <v>4</v>
      </c>
      <c r="N407" t="str" cm="1">
        <f t="array" ref="N407">_xlfn.IFS(_xlfn.SINGLE(calls[Duration])&lt;30,"UNDER 30 MINS",_xlfn.SINGLE(calls[Duration])&lt;60,"30 T0 60 MINS",_xlfn.SINGLE(calls[Duration])&lt;120,"1 TO 2 HRS",TRUE,"ABOVE 2 HRS")</f>
        <v>1 TO 2 HRS</v>
      </c>
    </row>
    <row r="408" spans="1:14" x14ac:dyDescent="0.3">
      <c r="A408" t="s">
        <v>442</v>
      </c>
      <c r="B408" t="s">
        <v>18</v>
      </c>
      <c r="C408">
        <v>139</v>
      </c>
      <c r="D408" t="s">
        <v>23</v>
      </c>
      <c r="E408" s="1">
        <v>45040</v>
      </c>
      <c r="F408">
        <v>81</v>
      </c>
      <c r="G408">
        <v>4.8</v>
      </c>
      <c r="H408" t="str">
        <f>TEXT(calls[[#This Row],[Date of Call]],"DDDD")</f>
        <v>Monday</v>
      </c>
      <c r="I408">
        <f>ROUND(calls[[#This Row],[Satisfaction Rating]],0)</f>
        <v>5</v>
      </c>
      <c r="N408" t="str" cm="1">
        <f t="array" ref="N408">_xlfn.IFS(_xlfn.SINGLE(calls[Duration])&lt;30,"UNDER 30 MINS",_xlfn.SINGLE(calls[Duration])&lt;60,"30 T0 60 MINS",_xlfn.SINGLE(calls[Duration])&lt;120,"1 TO 2 HRS",TRUE,"ABOVE 2 HRS")</f>
        <v>ABOVE 2 HRS</v>
      </c>
    </row>
    <row r="409" spans="1:14" x14ac:dyDescent="0.3">
      <c r="A409" t="s">
        <v>443</v>
      </c>
      <c r="B409" t="s">
        <v>26</v>
      </c>
      <c r="C409">
        <v>111</v>
      </c>
      <c r="D409" t="s">
        <v>29</v>
      </c>
      <c r="E409" s="1">
        <v>45040</v>
      </c>
      <c r="F409">
        <v>144</v>
      </c>
      <c r="G409">
        <v>3.9</v>
      </c>
      <c r="H409" t="str">
        <f>TEXT(calls[[#This Row],[Date of Call]],"DDDD")</f>
        <v>Monday</v>
      </c>
      <c r="I409">
        <f>ROUND(calls[[#This Row],[Satisfaction Rating]],0)</f>
        <v>4</v>
      </c>
      <c r="N409" t="str" cm="1">
        <f t="array" ref="N409">_xlfn.IFS(_xlfn.SINGLE(calls[Duration])&lt;30,"UNDER 30 MINS",_xlfn.SINGLE(calls[Duration])&lt;60,"30 T0 60 MINS",_xlfn.SINGLE(calls[Duration])&lt;120,"1 TO 2 HRS",TRUE,"ABOVE 2 HRS")</f>
        <v>1 TO 2 HRS</v>
      </c>
    </row>
    <row r="410" spans="1:14" x14ac:dyDescent="0.3">
      <c r="A410" t="s">
        <v>444</v>
      </c>
      <c r="B410" t="s">
        <v>22</v>
      </c>
      <c r="C410">
        <v>115</v>
      </c>
      <c r="D410" t="s">
        <v>23</v>
      </c>
      <c r="E410" s="1">
        <v>45040</v>
      </c>
      <c r="F410">
        <v>111</v>
      </c>
      <c r="G410">
        <v>4.3</v>
      </c>
      <c r="H410" t="str">
        <f>TEXT(calls[[#This Row],[Date of Call]],"DDDD")</f>
        <v>Monday</v>
      </c>
      <c r="I410">
        <f>ROUND(calls[[#This Row],[Satisfaction Rating]],0)</f>
        <v>4</v>
      </c>
      <c r="N410" t="str" cm="1">
        <f t="array" ref="N410">_xlfn.IFS(_xlfn.SINGLE(calls[Duration])&lt;30,"UNDER 30 MINS",_xlfn.SINGLE(calls[Duration])&lt;60,"30 T0 60 MINS",_xlfn.SINGLE(calls[Duration])&lt;120,"1 TO 2 HRS",TRUE,"ABOVE 2 HRS")</f>
        <v>1 TO 2 HRS</v>
      </c>
    </row>
    <row r="411" spans="1:14" x14ac:dyDescent="0.3">
      <c r="A411" t="s">
        <v>445</v>
      </c>
      <c r="B411" t="s">
        <v>37</v>
      </c>
      <c r="C411">
        <v>26</v>
      </c>
      <c r="D411" t="s">
        <v>36</v>
      </c>
      <c r="E411" s="1">
        <v>45040</v>
      </c>
      <c r="F411">
        <v>43</v>
      </c>
      <c r="G411">
        <v>4.2</v>
      </c>
      <c r="H411" t="str">
        <f>TEXT(calls[[#This Row],[Date of Call]],"DDDD")</f>
        <v>Monday</v>
      </c>
      <c r="I411">
        <f>ROUND(calls[[#This Row],[Satisfaction Rating]],0)</f>
        <v>4</v>
      </c>
      <c r="N411" t="str" cm="1">
        <f t="array" ref="N411">_xlfn.IFS(_xlfn.SINGLE(calls[Duration])&lt;30,"UNDER 30 MINS",_xlfn.SINGLE(calls[Duration])&lt;60,"30 T0 60 MINS",_xlfn.SINGLE(calls[Duration])&lt;120,"1 TO 2 HRS",TRUE,"ABOVE 2 HRS")</f>
        <v>UNDER 30 MINS</v>
      </c>
    </row>
    <row r="412" spans="1:14" x14ac:dyDescent="0.3">
      <c r="A412" t="s">
        <v>446</v>
      </c>
      <c r="B412" t="s">
        <v>41</v>
      </c>
      <c r="C412">
        <v>131</v>
      </c>
      <c r="D412" t="s">
        <v>42</v>
      </c>
      <c r="E412" s="1">
        <v>45040</v>
      </c>
      <c r="F412">
        <v>41</v>
      </c>
      <c r="G412">
        <v>4.9000000000000004</v>
      </c>
      <c r="H412" t="str">
        <f>TEXT(calls[[#This Row],[Date of Call]],"DDDD")</f>
        <v>Monday</v>
      </c>
      <c r="I412">
        <f>ROUND(calls[[#This Row],[Satisfaction Rating]],0)</f>
        <v>5</v>
      </c>
      <c r="N412" t="str" cm="1">
        <f t="array" ref="N412">_xlfn.IFS(_xlfn.SINGLE(calls[Duration])&lt;30,"UNDER 30 MINS",_xlfn.SINGLE(calls[Duration])&lt;60,"30 T0 60 MINS",_xlfn.SINGLE(calls[Duration])&lt;120,"1 TO 2 HRS",TRUE,"ABOVE 2 HRS")</f>
        <v>ABOVE 2 HRS</v>
      </c>
    </row>
    <row r="413" spans="1:14" x14ac:dyDescent="0.3">
      <c r="A413" t="s">
        <v>447</v>
      </c>
      <c r="B413" t="s">
        <v>22</v>
      </c>
      <c r="C413">
        <v>27</v>
      </c>
      <c r="D413" t="s">
        <v>42</v>
      </c>
      <c r="E413" s="1">
        <v>45040</v>
      </c>
      <c r="F413">
        <v>74</v>
      </c>
      <c r="G413">
        <v>4</v>
      </c>
      <c r="H413" t="str">
        <f>TEXT(calls[[#This Row],[Date of Call]],"DDDD")</f>
        <v>Monday</v>
      </c>
      <c r="I413">
        <f>ROUND(calls[[#This Row],[Satisfaction Rating]],0)</f>
        <v>4</v>
      </c>
      <c r="N413" t="str" cm="1">
        <f t="array" ref="N413">_xlfn.IFS(_xlfn.SINGLE(calls[Duration])&lt;30,"UNDER 30 MINS",_xlfn.SINGLE(calls[Duration])&lt;60,"30 T0 60 MINS",_xlfn.SINGLE(calls[Duration])&lt;120,"1 TO 2 HRS",TRUE,"ABOVE 2 HRS")</f>
        <v>UNDER 30 MINS</v>
      </c>
    </row>
    <row r="414" spans="1:14" x14ac:dyDescent="0.3">
      <c r="A414" t="s">
        <v>448</v>
      </c>
      <c r="B414" t="s">
        <v>46</v>
      </c>
      <c r="C414">
        <v>75</v>
      </c>
      <c r="D414" t="s">
        <v>29</v>
      </c>
      <c r="E414" s="1">
        <v>45040</v>
      </c>
      <c r="F414">
        <v>43</v>
      </c>
      <c r="G414">
        <v>4.9000000000000004</v>
      </c>
      <c r="H414" t="str">
        <f>TEXT(calls[[#This Row],[Date of Call]],"DDDD")</f>
        <v>Monday</v>
      </c>
      <c r="I414">
        <f>ROUND(calls[[#This Row],[Satisfaction Rating]],0)</f>
        <v>5</v>
      </c>
      <c r="N414" t="str" cm="1">
        <f t="array" ref="N414">_xlfn.IFS(_xlfn.SINGLE(calls[Duration])&lt;30,"UNDER 30 MINS",_xlfn.SINGLE(calls[Duration])&lt;60,"30 T0 60 MINS",_xlfn.SINGLE(calls[Duration])&lt;120,"1 TO 2 HRS",TRUE,"ABOVE 2 HRS")</f>
        <v>1 TO 2 HRS</v>
      </c>
    </row>
    <row r="415" spans="1:14" x14ac:dyDescent="0.3">
      <c r="A415" t="s">
        <v>449</v>
      </c>
      <c r="B415" t="s">
        <v>31</v>
      </c>
      <c r="C415">
        <v>123</v>
      </c>
      <c r="D415" t="s">
        <v>42</v>
      </c>
      <c r="E415" s="1">
        <v>45040</v>
      </c>
      <c r="F415">
        <v>128</v>
      </c>
      <c r="G415">
        <v>3.6</v>
      </c>
      <c r="H415" t="str">
        <f>TEXT(calls[[#This Row],[Date of Call]],"DDDD")</f>
        <v>Monday</v>
      </c>
      <c r="I415">
        <f>ROUND(calls[[#This Row],[Satisfaction Rating]],0)</f>
        <v>4</v>
      </c>
      <c r="N415" t="str" cm="1">
        <f t="array" ref="N415">_xlfn.IFS(_xlfn.SINGLE(calls[Duration])&lt;30,"UNDER 30 MINS",_xlfn.SINGLE(calls[Duration])&lt;60,"30 T0 60 MINS",_xlfn.SINGLE(calls[Duration])&lt;120,"1 TO 2 HRS",TRUE,"ABOVE 2 HRS")</f>
        <v>ABOVE 2 HRS</v>
      </c>
    </row>
    <row r="416" spans="1:14" x14ac:dyDescent="0.3">
      <c r="A416" t="s">
        <v>450</v>
      </c>
      <c r="B416" t="s">
        <v>12</v>
      </c>
      <c r="C416">
        <v>129</v>
      </c>
      <c r="D416" t="s">
        <v>42</v>
      </c>
      <c r="E416" s="1">
        <v>45041</v>
      </c>
      <c r="F416">
        <v>144</v>
      </c>
      <c r="G416">
        <v>4.0999999999999996</v>
      </c>
      <c r="H416" t="str">
        <f>TEXT(calls[[#This Row],[Date of Call]],"DDDD")</f>
        <v>Tuesday</v>
      </c>
      <c r="I416">
        <f>ROUND(calls[[#This Row],[Satisfaction Rating]],0)</f>
        <v>4</v>
      </c>
      <c r="N416" t="str" cm="1">
        <f t="array" ref="N416">_xlfn.IFS(_xlfn.SINGLE(calls[Duration])&lt;30,"UNDER 30 MINS",_xlfn.SINGLE(calls[Duration])&lt;60,"30 T0 60 MINS",_xlfn.SINGLE(calls[Duration])&lt;120,"1 TO 2 HRS",TRUE,"ABOVE 2 HRS")</f>
        <v>ABOVE 2 HRS</v>
      </c>
    </row>
    <row r="417" spans="1:14" x14ac:dyDescent="0.3">
      <c r="A417" t="s">
        <v>451</v>
      </c>
      <c r="B417" t="s">
        <v>46</v>
      </c>
      <c r="C417">
        <v>124</v>
      </c>
      <c r="D417" t="s">
        <v>23</v>
      </c>
      <c r="E417" s="1">
        <v>45041</v>
      </c>
      <c r="F417">
        <v>132</v>
      </c>
      <c r="G417">
        <v>4.9000000000000004</v>
      </c>
      <c r="H417" t="str">
        <f>TEXT(calls[[#This Row],[Date of Call]],"DDDD")</f>
        <v>Tuesday</v>
      </c>
      <c r="I417">
        <f>ROUND(calls[[#This Row],[Satisfaction Rating]],0)</f>
        <v>5</v>
      </c>
      <c r="N417" t="str" cm="1">
        <f t="array" ref="N417">_xlfn.IFS(_xlfn.SINGLE(calls[Duration])&lt;30,"UNDER 30 MINS",_xlfn.SINGLE(calls[Duration])&lt;60,"30 T0 60 MINS",_xlfn.SINGLE(calls[Duration])&lt;120,"1 TO 2 HRS",TRUE,"ABOVE 2 HRS")</f>
        <v>ABOVE 2 HRS</v>
      </c>
    </row>
    <row r="418" spans="1:14" x14ac:dyDescent="0.3">
      <c r="A418" t="s">
        <v>452</v>
      </c>
      <c r="B418" t="s">
        <v>22</v>
      </c>
      <c r="C418">
        <v>108</v>
      </c>
      <c r="D418" t="s">
        <v>23</v>
      </c>
      <c r="E418" s="1">
        <v>45041</v>
      </c>
      <c r="F418">
        <v>180</v>
      </c>
      <c r="G418">
        <v>3.9</v>
      </c>
      <c r="H418" t="str">
        <f>TEXT(calls[[#This Row],[Date of Call]],"DDDD")</f>
        <v>Tuesday</v>
      </c>
      <c r="I418">
        <f>ROUND(calls[[#This Row],[Satisfaction Rating]],0)</f>
        <v>4</v>
      </c>
      <c r="N418" t="str" cm="1">
        <f t="array" ref="N418">_xlfn.IFS(_xlfn.SINGLE(calls[Duration])&lt;30,"UNDER 30 MINS",_xlfn.SINGLE(calls[Duration])&lt;60,"30 T0 60 MINS",_xlfn.SINGLE(calls[Duration])&lt;120,"1 TO 2 HRS",TRUE,"ABOVE 2 HRS")</f>
        <v>1 TO 2 HRS</v>
      </c>
    </row>
    <row r="419" spans="1:14" x14ac:dyDescent="0.3">
      <c r="A419" t="s">
        <v>453</v>
      </c>
      <c r="B419" t="s">
        <v>28</v>
      </c>
      <c r="C419">
        <v>15</v>
      </c>
      <c r="D419" t="s">
        <v>23</v>
      </c>
      <c r="E419" s="1">
        <v>45041</v>
      </c>
      <c r="F419">
        <v>31</v>
      </c>
      <c r="G419">
        <v>4.0999999999999996</v>
      </c>
      <c r="H419" t="str">
        <f>TEXT(calls[[#This Row],[Date of Call]],"DDDD")</f>
        <v>Tuesday</v>
      </c>
      <c r="I419">
        <f>ROUND(calls[[#This Row],[Satisfaction Rating]],0)</f>
        <v>4</v>
      </c>
      <c r="N419" t="str" cm="1">
        <f t="array" ref="N419">_xlfn.IFS(_xlfn.SINGLE(calls[Duration])&lt;30,"UNDER 30 MINS",_xlfn.SINGLE(calls[Duration])&lt;60,"30 T0 60 MINS",_xlfn.SINGLE(calls[Duration])&lt;120,"1 TO 2 HRS",TRUE,"ABOVE 2 HRS")</f>
        <v>UNDER 30 MINS</v>
      </c>
    </row>
    <row r="420" spans="1:14" x14ac:dyDescent="0.3">
      <c r="A420" t="s">
        <v>454</v>
      </c>
      <c r="B420" t="s">
        <v>22</v>
      </c>
      <c r="C420">
        <v>66</v>
      </c>
      <c r="D420" t="s">
        <v>23</v>
      </c>
      <c r="E420" s="1">
        <v>45041</v>
      </c>
      <c r="F420">
        <v>102</v>
      </c>
      <c r="G420">
        <v>3.8</v>
      </c>
      <c r="H420" t="str">
        <f>TEXT(calls[[#This Row],[Date of Call]],"DDDD")</f>
        <v>Tuesday</v>
      </c>
      <c r="I420">
        <f>ROUND(calls[[#This Row],[Satisfaction Rating]],0)</f>
        <v>4</v>
      </c>
      <c r="N420" t="str" cm="1">
        <f t="array" ref="N420">_xlfn.IFS(_xlfn.SINGLE(calls[Duration])&lt;30,"UNDER 30 MINS",_xlfn.SINGLE(calls[Duration])&lt;60,"30 T0 60 MINS",_xlfn.SINGLE(calls[Duration])&lt;120,"1 TO 2 HRS",TRUE,"ABOVE 2 HRS")</f>
        <v>1 TO 2 HRS</v>
      </c>
    </row>
    <row r="421" spans="1:14" x14ac:dyDescent="0.3">
      <c r="A421" t="s">
        <v>455</v>
      </c>
      <c r="B421" t="s">
        <v>33</v>
      </c>
      <c r="C421">
        <v>126</v>
      </c>
      <c r="D421" t="s">
        <v>29</v>
      </c>
      <c r="E421" s="1">
        <v>45042</v>
      </c>
      <c r="F421">
        <v>175</v>
      </c>
      <c r="G421">
        <v>4.8</v>
      </c>
      <c r="H421" t="str">
        <f>TEXT(calls[[#This Row],[Date of Call]],"DDDD")</f>
        <v>Wednesday</v>
      </c>
      <c r="I421">
        <f>ROUND(calls[[#This Row],[Satisfaction Rating]],0)</f>
        <v>5</v>
      </c>
      <c r="N421" t="str" cm="1">
        <f t="array" ref="N421">_xlfn.IFS(_xlfn.SINGLE(calls[Duration])&lt;30,"UNDER 30 MINS",_xlfn.SINGLE(calls[Duration])&lt;60,"30 T0 60 MINS",_xlfn.SINGLE(calls[Duration])&lt;120,"1 TO 2 HRS",TRUE,"ABOVE 2 HRS")</f>
        <v>ABOVE 2 HRS</v>
      </c>
    </row>
    <row r="422" spans="1:14" x14ac:dyDescent="0.3">
      <c r="A422" t="s">
        <v>456</v>
      </c>
      <c r="B422" t="s">
        <v>46</v>
      </c>
      <c r="C422">
        <v>26</v>
      </c>
      <c r="D422" t="s">
        <v>13</v>
      </c>
      <c r="E422" s="1">
        <v>45042</v>
      </c>
      <c r="F422">
        <v>87</v>
      </c>
      <c r="G422">
        <v>4.7</v>
      </c>
      <c r="H422" t="str">
        <f>TEXT(calls[[#This Row],[Date of Call]],"DDDD")</f>
        <v>Wednesday</v>
      </c>
      <c r="I422">
        <f>ROUND(calls[[#This Row],[Satisfaction Rating]],0)</f>
        <v>5</v>
      </c>
      <c r="N422" t="str" cm="1">
        <f t="array" ref="N422">_xlfn.IFS(_xlfn.SINGLE(calls[Duration])&lt;30,"UNDER 30 MINS",_xlfn.SINGLE(calls[Duration])&lt;60,"30 T0 60 MINS",_xlfn.SINGLE(calls[Duration])&lt;120,"1 TO 2 HRS",TRUE,"ABOVE 2 HRS")</f>
        <v>UNDER 30 MINS</v>
      </c>
    </row>
    <row r="423" spans="1:14" x14ac:dyDescent="0.3">
      <c r="A423" t="s">
        <v>457</v>
      </c>
      <c r="B423" t="s">
        <v>19</v>
      </c>
      <c r="C423">
        <v>105</v>
      </c>
      <c r="D423" t="s">
        <v>29</v>
      </c>
      <c r="E423" s="1">
        <v>45042</v>
      </c>
      <c r="F423">
        <v>66</v>
      </c>
      <c r="G423">
        <v>4.2</v>
      </c>
      <c r="H423" t="str">
        <f>TEXT(calls[[#This Row],[Date of Call]],"DDDD")</f>
        <v>Wednesday</v>
      </c>
      <c r="I423">
        <f>ROUND(calls[[#This Row],[Satisfaction Rating]],0)</f>
        <v>4</v>
      </c>
      <c r="N423" t="str" cm="1">
        <f t="array" ref="N423">_xlfn.IFS(_xlfn.SINGLE(calls[Duration])&lt;30,"UNDER 30 MINS",_xlfn.SINGLE(calls[Duration])&lt;60,"30 T0 60 MINS",_xlfn.SINGLE(calls[Duration])&lt;120,"1 TO 2 HRS",TRUE,"ABOVE 2 HRS")</f>
        <v>1 TO 2 HRS</v>
      </c>
    </row>
    <row r="424" spans="1:14" x14ac:dyDescent="0.3">
      <c r="A424" t="s">
        <v>458</v>
      </c>
      <c r="B424" t="s">
        <v>19</v>
      </c>
      <c r="C424">
        <v>31</v>
      </c>
      <c r="D424" t="s">
        <v>29</v>
      </c>
      <c r="E424" s="1">
        <v>45042</v>
      </c>
      <c r="F424">
        <v>25</v>
      </c>
      <c r="G424">
        <v>3.2</v>
      </c>
      <c r="H424" t="str">
        <f>TEXT(calls[[#This Row],[Date of Call]],"DDDD")</f>
        <v>Wednesday</v>
      </c>
      <c r="I424">
        <f>ROUND(calls[[#This Row],[Satisfaction Rating]],0)</f>
        <v>3</v>
      </c>
      <c r="N424" t="str" cm="1">
        <f t="array" ref="N424">_xlfn.IFS(_xlfn.SINGLE(calls[Duration])&lt;30,"UNDER 30 MINS",_xlfn.SINGLE(calls[Duration])&lt;60,"30 T0 60 MINS",_xlfn.SINGLE(calls[Duration])&lt;120,"1 TO 2 HRS",TRUE,"ABOVE 2 HRS")</f>
        <v>30 T0 60 MINS</v>
      </c>
    </row>
    <row r="425" spans="1:14" x14ac:dyDescent="0.3">
      <c r="A425" t="s">
        <v>459</v>
      </c>
      <c r="B425" t="s">
        <v>22</v>
      </c>
      <c r="C425">
        <v>109</v>
      </c>
      <c r="D425" t="s">
        <v>23</v>
      </c>
      <c r="E425" s="1">
        <v>45042</v>
      </c>
      <c r="F425">
        <v>126</v>
      </c>
      <c r="G425">
        <v>3.4</v>
      </c>
      <c r="H425" t="str">
        <f>TEXT(calls[[#This Row],[Date of Call]],"DDDD")</f>
        <v>Wednesday</v>
      </c>
      <c r="I425">
        <f>ROUND(calls[[#This Row],[Satisfaction Rating]],0)</f>
        <v>3</v>
      </c>
      <c r="N425" t="str" cm="1">
        <f t="array" ref="N425">_xlfn.IFS(_xlfn.SINGLE(calls[Duration])&lt;30,"UNDER 30 MINS",_xlfn.SINGLE(calls[Duration])&lt;60,"30 T0 60 MINS",_xlfn.SINGLE(calls[Duration])&lt;120,"1 TO 2 HRS",TRUE,"ABOVE 2 HRS")</f>
        <v>1 TO 2 HRS</v>
      </c>
    </row>
    <row r="426" spans="1:14" x14ac:dyDescent="0.3">
      <c r="A426" t="s">
        <v>460</v>
      </c>
      <c r="B426" t="s">
        <v>12</v>
      </c>
      <c r="C426">
        <v>113</v>
      </c>
      <c r="D426" t="s">
        <v>36</v>
      </c>
      <c r="E426" s="1">
        <v>45043</v>
      </c>
      <c r="F426">
        <v>42</v>
      </c>
      <c r="G426">
        <v>4.5999999999999996</v>
      </c>
      <c r="H426" t="str">
        <f>TEXT(calls[[#This Row],[Date of Call]],"DDDD")</f>
        <v>Thursday</v>
      </c>
      <c r="I426">
        <f>ROUND(calls[[#This Row],[Satisfaction Rating]],0)</f>
        <v>5</v>
      </c>
      <c r="N426" t="str" cm="1">
        <f t="array" ref="N426">_xlfn.IFS(_xlfn.SINGLE(calls[Duration])&lt;30,"UNDER 30 MINS",_xlfn.SINGLE(calls[Duration])&lt;60,"30 T0 60 MINS",_xlfn.SINGLE(calls[Duration])&lt;120,"1 TO 2 HRS",TRUE,"ABOVE 2 HRS")</f>
        <v>1 TO 2 HRS</v>
      </c>
    </row>
    <row r="427" spans="1:14" x14ac:dyDescent="0.3">
      <c r="A427" t="s">
        <v>461</v>
      </c>
      <c r="B427" t="s">
        <v>33</v>
      </c>
      <c r="C427">
        <v>101</v>
      </c>
      <c r="D427" t="s">
        <v>13</v>
      </c>
      <c r="E427" s="1">
        <v>45043</v>
      </c>
      <c r="F427">
        <v>225</v>
      </c>
      <c r="G427">
        <v>1.9</v>
      </c>
      <c r="H427" t="str">
        <f>TEXT(calls[[#This Row],[Date of Call]],"DDDD")</f>
        <v>Thursday</v>
      </c>
      <c r="I427">
        <f>ROUND(calls[[#This Row],[Satisfaction Rating]],0)</f>
        <v>2</v>
      </c>
      <c r="N427" t="str" cm="1">
        <f t="array" ref="N427">_xlfn.IFS(_xlfn.SINGLE(calls[Duration])&lt;30,"UNDER 30 MINS",_xlfn.SINGLE(calls[Duration])&lt;60,"30 T0 60 MINS",_xlfn.SINGLE(calls[Duration])&lt;120,"1 TO 2 HRS",TRUE,"ABOVE 2 HRS")</f>
        <v>1 TO 2 HRS</v>
      </c>
    </row>
    <row r="428" spans="1:14" x14ac:dyDescent="0.3">
      <c r="A428" t="s">
        <v>462</v>
      </c>
      <c r="B428" t="s">
        <v>26</v>
      </c>
      <c r="C428">
        <v>156</v>
      </c>
      <c r="D428" t="s">
        <v>13</v>
      </c>
      <c r="E428" s="1">
        <v>45043</v>
      </c>
      <c r="F428">
        <v>42</v>
      </c>
      <c r="G428">
        <v>3.3</v>
      </c>
      <c r="H428" t="str">
        <f>TEXT(calls[[#This Row],[Date of Call]],"DDDD")</f>
        <v>Thursday</v>
      </c>
      <c r="I428">
        <f>ROUND(calls[[#This Row],[Satisfaction Rating]],0)</f>
        <v>3</v>
      </c>
      <c r="N428" t="str" cm="1">
        <f t="array" ref="N428">_xlfn.IFS(_xlfn.SINGLE(calls[Duration])&lt;30,"UNDER 30 MINS",_xlfn.SINGLE(calls[Duration])&lt;60,"30 T0 60 MINS",_xlfn.SINGLE(calls[Duration])&lt;120,"1 TO 2 HRS",TRUE,"ABOVE 2 HRS")</f>
        <v>ABOVE 2 HRS</v>
      </c>
    </row>
    <row r="429" spans="1:14" x14ac:dyDescent="0.3">
      <c r="A429" t="s">
        <v>463</v>
      </c>
      <c r="B429" t="s">
        <v>22</v>
      </c>
      <c r="C429">
        <v>145</v>
      </c>
      <c r="D429" t="s">
        <v>36</v>
      </c>
      <c r="E429" s="1">
        <v>45044</v>
      </c>
      <c r="F429">
        <v>110</v>
      </c>
      <c r="G429">
        <v>3.1</v>
      </c>
      <c r="H429" t="str">
        <f>TEXT(calls[[#This Row],[Date of Call]],"DDDD")</f>
        <v>Friday</v>
      </c>
      <c r="I429">
        <f>ROUND(calls[[#This Row],[Satisfaction Rating]],0)</f>
        <v>3</v>
      </c>
      <c r="N429" t="str" cm="1">
        <f t="array" ref="N429">_xlfn.IFS(_xlfn.SINGLE(calls[Duration])&lt;30,"UNDER 30 MINS",_xlfn.SINGLE(calls[Duration])&lt;60,"30 T0 60 MINS",_xlfn.SINGLE(calls[Duration])&lt;120,"1 TO 2 HRS",TRUE,"ABOVE 2 HRS")</f>
        <v>ABOVE 2 HRS</v>
      </c>
    </row>
    <row r="430" spans="1:14" x14ac:dyDescent="0.3">
      <c r="A430" t="s">
        <v>464</v>
      </c>
      <c r="B430" t="s">
        <v>31</v>
      </c>
      <c r="C430">
        <v>36</v>
      </c>
      <c r="D430" t="s">
        <v>23</v>
      </c>
      <c r="E430" s="1">
        <v>45044</v>
      </c>
      <c r="F430">
        <v>225</v>
      </c>
      <c r="G430">
        <v>4.8</v>
      </c>
      <c r="H430" t="str">
        <f>TEXT(calls[[#This Row],[Date of Call]],"DDDD")</f>
        <v>Friday</v>
      </c>
      <c r="I430">
        <f>ROUND(calls[[#This Row],[Satisfaction Rating]],0)</f>
        <v>5</v>
      </c>
      <c r="N430" t="str" cm="1">
        <f t="array" ref="N430">_xlfn.IFS(_xlfn.SINGLE(calls[Duration])&lt;30,"UNDER 30 MINS",_xlfn.SINGLE(calls[Duration])&lt;60,"30 T0 60 MINS",_xlfn.SINGLE(calls[Duration])&lt;120,"1 TO 2 HRS",TRUE,"ABOVE 2 HRS")</f>
        <v>30 T0 60 MINS</v>
      </c>
    </row>
    <row r="431" spans="1:14" x14ac:dyDescent="0.3">
      <c r="A431" t="s">
        <v>465</v>
      </c>
      <c r="B431" t="s">
        <v>19</v>
      </c>
      <c r="C431">
        <v>135</v>
      </c>
      <c r="D431" t="s">
        <v>42</v>
      </c>
      <c r="E431" s="1">
        <v>45045</v>
      </c>
      <c r="F431">
        <v>125</v>
      </c>
      <c r="G431">
        <v>3.3</v>
      </c>
      <c r="H431" t="str">
        <f>TEXT(calls[[#This Row],[Date of Call]],"DDDD")</f>
        <v>Saturday</v>
      </c>
      <c r="I431">
        <f>ROUND(calls[[#This Row],[Satisfaction Rating]],0)</f>
        <v>3</v>
      </c>
      <c r="N431" t="str" cm="1">
        <f t="array" ref="N431">_xlfn.IFS(_xlfn.SINGLE(calls[Duration])&lt;30,"UNDER 30 MINS",_xlfn.SINGLE(calls[Duration])&lt;60,"30 T0 60 MINS",_xlfn.SINGLE(calls[Duration])&lt;120,"1 TO 2 HRS",TRUE,"ABOVE 2 HRS")</f>
        <v>ABOVE 2 HRS</v>
      </c>
    </row>
    <row r="432" spans="1:14" x14ac:dyDescent="0.3">
      <c r="A432" t="s">
        <v>466</v>
      </c>
      <c r="B432" t="s">
        <v>33</v>
      </c>
      <c r="C432">
        <v>81</v>
      </c>
      <c r="D432" t="s">
        <v>23</v>
      </c>
      <c r="E432" s="1">
        <v>45045</v>
      </c>
      <c r="F432">
        <v>78</v>
      </c>
      <c r="G432">
        <v>2.9</v>
      </c>
      <c r="H432" t="str">
        <f>TEXT(calls[[#This Row],[Date of Call]],"DDDD")</f>
        <v>Saturday</v>
      </c>
      <c r="I432">
        <f>ROUND(calls[[#This Row],[Satisfaction Rating]],0)</f>
        <v>3</v>
      </c>
      <c r="N432" t="str" cm="1">
        <f t="array" ref="N432">_xlfn.IFS(_xlfn.SINGLE(calls[Duration])&lt;30,"UNDER 30 MINS",_xlfn.SINGLE(calls[Duration])&lt;60,"30 T0 60 MINS",_xlfn.SINGLE(calls[Duration])&lt;120,"1 TO 2 HRS",TRUE,"ABOVE 2 HRS")</f>
        <v>1 TO 2 HRS</v>
      </c>
    </row>
    <row r="433" spans="1:14" x14ac:dyDescent="0.3">
      <c r="A433" t="s">
        <v>467</v>
      </c>
      <c r="B433" t="s">
        <v>33</v>
      </c>
      <c r="C433">
        <v>81</v>
      </c>
      <c r="D433" t="s">
        <v>36</v>
      </c>
      <c r="E433" s="1">
        <v>45045</v>
      </c>
      <c r="F433">
        <v>40</v>
      </c>
      <c r="G433">
        <v>2.4</v>
      </c>
      <c r="H433" t="str">
        <f>TEXT(calls[[#This Row],[Date of Call]],"DDDD")</f>
        <v>Saturday</v>
      </c>
      <c r="I433">
        <f>ROUND(calls[[#This Row],[Satisfaction Rating]],0)</f>
        <v>2</v>
      </c>
      <c r="N433" t="str" cm="1">
        <f t="array" ref="N433">_xlfn.IFS(_xlfn.SINGLE(calls[Duration])&lt;30,"UNDER 30 MINS",_xlfn.SINGLE(calls[Duration])&lt;60,"30 T0 60 MINS",_xlfn.SINGLE(calls[Duration])&lt;120,"1 TO 2 HRS",TRUE,"ABOVE 2 HRS")</f>
        <v>1 TO 2 HRS</v>
      </c>
    </row>
    <row r="434" spans="1:14" x14ac:dyDescent="0.3">
      <c r="A434" t="s">
        <v>468</v>
      </c>
      <c r="B434" t="s">
        <v>39</v>
      </c>
      <c r="C434">
        <v>93</v>
      </c>
      <c r="D434" t="s">
        <v>29</v>
      </c>
      <c r="E434" s="1">
        <v>45045</v>
      </c>
      <c r="F434">
        <v>150</v>
      </c>
      <c r="G434">
        <v>4.5999999999999996</v>
      </c>
      <c r="H434" t="str">
        <f>TEXT(calls[[#This Row],[Date of Call]],"DDDD")</f>
        <v>Saturday</v>
      </c>
      <c r="I434">
        <f>ROUND(calls[[#This Row],[Satisfaction Rating]],0)</f>
        <v>5</v>
      </c>
      <c r="N434" t="str" cm="1">
        <f t="array" ref="N434">_xlfn.IFS(_xlfn.SINGLE(calls[Duration])&lt;30,"UNDER 30 MINS",_xlfn.SINGLE(calls[Duration])&lt;60,"30 T0 60 MINS",_xlfn.SINGLE(calls[Duration])&lt;120,"1 TO 2 HRS",TRUE,"ABOVE 2 HRS")</f>
        <v>1 TO 2 HRS</v>
      </c>
    </row>
    <row r="435" spans="1:14" x14ac:dyDescent="0.3">
      <c r="A435" t="s">
        <v>469</v>
      </c>
      <c r="B435" t="s">
        <v>22</v>
      </c>
      <c r="C435">
        <v>14</v>
      </c>
      <c r="D435" t="s">
        <v>23</v>
      </c>
      <c r="E435" s="1">
        <v>45045</v>
      </c>
      <c r="F435">
        <v>96</v>
      </c>
      <c r="G435">
        <v>4.8</v>
      </c>
      <c r="H435" t="str">
        <f>TEXT(calls[[#This Row],[Date of Call]],"DDDD")</f>
        <v>Saturday</v>
      </c>
      <c r="I435">
        <f>ROUND(calls[[#This Row],[Satisfaction Rating]],0)</f>
        <v>5</v>
      </c>
      <c r="N435" t="str" cm="1">
        <f t="array" ref="N435">_xlfn.IFS(_xlfn.SINGLE(calls[Duration])&lt;30,"UNDER 30 MINS",_xlfn.SINGLE(calls[Duration])&lt;60,"30 T0 60 MINS",_xlfn.SINGLE(calls[Duration])&lt;120,"1 TO 2 HRS",TRUE,"ABOVE 2 HRS")</f>
        <v>UNDER 30 MINS</v>
      </c>
    </row>
    <row r="436" spans="1:14" x14ac:dyDescent="0.3">
      <c r="A436" t="s">
        <v>470</v>
      </c>
      <c r="B436" t="s">
        <v>19</v>
      </c>
      <c r="C436">
        <v>95</v>
      </c>
      <c r="D436" t="s">
        <v>36</v>
      </c>
      <c r="E436" s="1">
        <v>45046</v>
      </c>
      <c r="F436">
        <v>75</v>
      </c>
      <c r="G436">
        <v>4.8</v>
      </c>
      <c r="H436" t="str">
        <f>TEXT(calls[[#This Row],[Date of Call]],"DDDD")</f>
        <v>Sunday</v>
      </c>
      <c r="I436">
        <f>ROUND(calls[[#This Row],[Satisfaction Rating]],0)</f>
        <v>5</v>
      </c>
      <c r="N436" t="str" cm="1">
        <f t="array" ref="N436">_xlfn.IFS(_xlfn.SINGLE(calls[Duration])&lt;30,"UNDER 30 MINS",_xlfn.SINGLE(calls[Duration])&lt;60,"30 T0 60 MINS",_xlfn.SINGLE(calls[Duration])&lt;120,"1 TO 2 HRS",TRUE,"ABOVE 2 HRS")</f>
        <v>1 TO 2 HRS</v>
      </c>
    </row>
    <row r="437" spans="1:14" x14ac:dyDescent="0.3">
      <c r="A437" t="s">
        <v>471</v>
      </c>
      <c r="B437" t="s">
        <v>39</v>
      </c>
      <c r="C437">
        <v>81</v>
      </c>
      <c r="D437" t="s">
        <v>36</v>
      </c>
      <c r="E437" s="1">
        <v>45046</v>
      </c>
      <c r="F437">
        <v>60</v>
      </c>
      <c r="G437">
        <v>3.6</v>
      </c>
      <c r="H437" t="str">
        <f>TEXT(calls[[#This Row],[Date of Call]],"DDDD")</f>
        <v>Sunday</v>
      </c>
      <c r="I437">
        <f>ROUND(calls[[#This Row],[Satisfaction Rating]],0)</f>
        <v>4</v>
      </c>
      <c r="N437" t="str" cm="1">
        <f t="array" ref="N437">_xlfn.IFS(_xlfn.SINGLE(calls[Duration])&lt;30,"UNDER 30 MINS",_xlfn.SINGLE(calls[Duration])&lt;60,"30 T0 60 MINS",_xlfn.SINGLE(calls[Duration])&lt;120,"1 TO 2 HRS",TRUE,"ABOVE 2 HRS")</f>
        <v>1 TO 2 HRS</v>
      </c>
    </row>
    <row r="438" spans="1:14" x14ac:dyDescent="0.3">
      <c r="A438" t="s">
        <v>472</v>
      </c>
      <c r="B438" t="s">
        <v>37</v>
      </c>
      <c r="C438">
        <v>60</v>
      </c>
      <c r="D438" t="s">
        <v>23</v>
      </c>
      <c r="E438" s="1">
        <v>45047</v>
      </c>
      <c r="F438">
        <v>41</v>
      </c>
      <c r="G438">
        <v>4.8</v>
      </c>
      <c r="H438" t="str">
        <f>TEXT(calls[[#This Row],[Date of Call]],"DDDD")</f>
        <v>Monday</v>
      </c>
      <c r="I438">
        <f>ROUND(calls[[#This Row],[Satisfaction Rating]],0)</f>
        <v>5</v>
      </c>
      <c r="N438" t="str" cm="1">
        <f t="array" ref="N438">_xlfn.IFS(_xlfn.SINGLE(calls[Duration])&lt;30,"UNDER 30 MINS",_xlfn.SINGLE(calls[Duration])&lt;60,"30 T0 60 MINS",_xlfn.SINGLE(calls[Duration])&lt;120,"1 TO 2 HRS",TRUE,"ABOVE 2 HRS")</f>
        <v>1 TO 2 HRS</v>
      </c>
    </row>
    <row r="439" spans="1:14" x14ac:dyDescent="0.3">
      <c r="A439" t="s">
        <v>473</v>
      </c>
      <c r="B439" t="s">
        <v>45</v>
      </c>
      <c r="C439">
        <v>137</v>
      </c>
      <c r="D439" t="s">
        <v>29</v>
      </c>
      <c r="E439" s="1">
        <v>45047</v>
      </c>
      <c r="F439">
        <v>20</v>
      </c>
      <c r="G439">
        <v>4.2</v>
      </c>
      <c r="H439" t="str">
        <f>TEXT(calls[[#This Row],[Date of Call]],"DDDD")</f>
        <v>Monday</v>
      </c>
      <c r="I439">
        <f>ROUND(calls[[#This Row],[Satisfaction Rating]],0)</f>
        <v>4</v>
      </c>
      <c r="N439" t="str" cm="1">
        <f t="array" ref="N439">_xlfn.IFS(_xlfn.SINGLE(calls[Duration])&lt;30,"UNDER 30 MINS",_xlfn.SINGLE(calls[Duration])&lt;60,"30 T0 60 MINS",_xlfn.SINGLE(calls[Duration])&lt;120,"1 TO 2 HRS",TRUE,"ABOVE 2 HRS")</f>
        <v>ABOVE 2 HRS</v>
      </c>
    </row>
    <row r="440" spans="1:14" x14ac:dyDescent="0.3">
      <c r="A440" t="s">
        <v>474</v>
      </c>
      <c r="B440" t="s">
        <v>18</v>
      </c>
      <c r="C440">
        <v>112</v>
      </c>
      <c r="D440" t="s">
        <v>42</v>
      </c>
      <c r="E440" s="1">
        <v>45047</v>
      </c>
      <c r="F440">
        <v>84</v>
      </c>
      <c r="G440">
        <v>2.6</v>
      </c>
      <c r="H440" t="str">
        <f>TEXT(calls[[#This Row],[Date of Call]],"DDDD")</f>
        <v>Monday</v>
      </c>
      <c r="I440">
        <f>ROUND(calls[[#This Row],[Satisfaction Rating]],0)</f>
        <v>3</v>
      </c>
      <c r="N440" t="str" cm="1">
        <f t="array" ref="N440">_xlfn.IFS(_xlfn.SINGLE(calls[Duration])&lt;30,"UNDER 30 MINS",_xlfn.SINGLE(calls[Duration])&lt;60,"30 T0 60 MINS",_xlfn.SINGLE(calls[Duration])&lt;120,"1 TO 2 HRS",TRUE,"ABOVE 2 HRS")</f>
        <v>1 TO 2 HRS</v>
      </c>
    </row>
    <row r="441" spans="1:14" x14ac:dyDescent="0.3">
      <c r="A441" t="s">
        <v>475</v>
      </c>
      <c r="B441" t="s">
        <v>19</v>
      </c>
      <c r="C441">
        <v>76</v>
      </c>
      <c r="D441" t="s">
        <v>13</v>
      </c>
      <c r="E441" s="1">
        <v>45047</v>
      </c>
      <c r="F441">
        <v>140</v>
      </c>
      <c r="G441">
        <v>3.7</v>
      </c>
      <c r="H441" t="str">
        <f>TEXT(calls[[#This Row],[Date of Call]],"DDDD")</f>
        <v>Monday</v>
      </c>
      <c r="I441">
        <f>ROUND(calls[[#This Row],[Satisfaction Rating]],0)</f>
        <v>4</v>
      </c>
      <c r="N441" t="str" cm="1">
        <f t="array" ref="N441">_xlfn.IFS(_xlfn.SINGLE(calls[Duration])&lt;30,"UNDER 30 MINS",_xlfn.SINGLE(calls[Duration])&lt;60,"30 T0 60 MINS",_xlfn.SINGLE(calls[Duration])&lt;120,"1 TO 2 HRS",TRUE,"ABOVE 2 HRS")</f>
        <v>1 TO 2 HRS</v>
      </c>
    </row>
    <row r="442" spans="1:14" x14ac:dyDescent="0.3">
      <c r="A442" t="s">
        <v>476</v>
      </c>
      <c r="B442" t="s">
        <v>50</v>
      </c>
      <c r="C442">
        <v>73</v>
      </c>
      <c r="D442" t="s">
        <v>23</v>
      </c>
      <c r="E442" s="1">
        <v>45047</v>
      </c>
      <c r="F442">
        <v>66</v>
      </c>
      <c r="G442">
        <v>4.8</v>
      </c>
      <c r="H442" t="str">
        <f>TEXT(calls[[#This Row],[Date of Call]],"DDDD")</f>
        <v>Monday</v>
      </c>
      <c r="I442">
        <f>ROUND(calls[[#This Row],[Satisfaction Rating]],0)</f>
        <v>5</v>
      </c>
      <c r="N442" t="str" cm="1">
        <f t="array" ref="N442">_xlfn.IFS(_xlfn.SINGLE(calls[Duration])&lt;30,"UNDER 30 MINS",_xlfn.SINGLE(calls[Duration])&lt;60,"30 T0 60 MINS",_xlfn.SINGLE(calls[Duration])&lt;120,"1 TO 2 HRS",TRUE,"ABOVE 2 HRS")</f>
        <v>1 TO 2 HRS</v>
      </c>
    </row>
    <row r="443" spans="1:14" x14ac:dyDescent="0.3">
      <c r="A443" t="s">
        <v>477</v>
      </c>
      <c r="B443" t="s">
        <v>41</v>
      </c>
      <c r="C443">
        <v>119</v>
      </c>
      <c r="D443" t="s">
        <v>29</v>
      </c>
      <c r="E443" s="1">
        <v>45047</v>
      </c>
      <c r="F443">
        <v>105</v>
      </c>
      <c r="G443">
        <v>4.7</v>
      </c>
      <c r="H443" t="str">
        <f>TEXT(calls[[#This Row],[Date of Call]],"DDDD")</f>
        <v>Monday</v>
      </c>
      <c r="I443">
        <f>ROUND(calls[[#This Row],[Satisfaction Rating]],0)</f>
        <v>5</v>
      </c>
      <c r="N443" t="str" cm="1">
        <f t="array" ref="N443">_xlfn.IFS(_xlfn.SINGLE(calls[Duration])&lt;30,"UNDER 30 MINS",_xlfn.SINGLE(calls[Duration])&lt;60,"30 T0 60 MINS",_xlfn.SINGLE(calls[Duration])&lt;120,"1 TO 2 HRS",TRUE,"ABOVE 2 HRS")</f>
        <v>1 TO 2 HRS</v>
      </c>
    </row>
    <row r="444" spans="1:14" x14ac:dyDescent="0.3">
      <c r="A444" t="s">
        <v>478</v>
      </c>
      <c r="B444" t="s">
        <v>12</v>
      </c>
      <c r="C444">
        <v>135</v>
      </c>
      <c r="D444" t="s">
        <v>36</v>
      </c>
      <c r="E444" s="1">
        <v>45048</v>
      </c>
      <c r="F444">
        <v>104</v>
      </c>
      <c r="G444">
        <v>4.0999999999999996</v>
      </c>
      <c r="H444" t="str">
        <f>TEXT(calls[[#This Row],[Date of Call]],"DDDD")</f>
        <v>Tuesday</v>
      </c>
      <c r="I444">
        <f>ROUND(calls[[#This Row],[Satisfaction Rating]],0)</f>
        <v>4</v>
      </c>
      <c r="N444" t="str" cm="1">
        <f t="array" ref="N444">_xlfn.IFS(_xlfn.SINGLE(calls[Duration])&lt;30,"UNDER 30 MINS",_xlfn.SINGLE(calls[Duration])&lt;60,"30 T0 60 MINS",_xlfn.SINGLE(calls[Duration])&lt;120,"1 TO 2 HRS",TRUE,"ABOVE 2 HRS")</f>
        <v>ABOVE 2 HRS</v>
      </c>
    </row>
    <row r="445" spans="1:14" x14ac:dyDescent="0.3">
      <c r="A445" t="s">
        <v>479</v>
      </c>
      <c r="B445" t="s">
        <v>45</v>
      </c>
      <c r="C445">
        <v>41</v>
      </c>
      <c r="D445" t="s">
        <v>42</v>
      </c>
      <c r="E445" s="1">
        <v>45048</v>
      </c>
      <c r="F445">
        <v>123</v>
      </c>
      <c r="G445">
        <v>3.2</v>
      </c>
      <c r="H445" t="str">
        <f>TEXT(calls[[#This Row],[Date of Call]],"DDDD")</f>
        <v>Tuesday</v>
      </c>
      <c r="I445">
        <f>ROUND(calls[[#This Row],[Satisfaction Rating]],0)</f>
        <v>3</v>
      </c>
      <c r="N445" t="str" cm="1">
        <f t="array" ref="N445">_xlfn.IFS(_xlfn.SINGLE(calls[Duration])&lt;30,"UNDER 30 MINS",_xlfn.SINGLE(calls[Duration])&lt;60,"30 T0 60 MINS",_xlfn.SINGLE(calls[Duration])&lt;120,"1 TO 2 HRS",TRUE,"ABOVE 2 HRS")</f>
        <v>30 T0 60 MINS</v>
      </c>
    </row>
    <row r="446" spans="1:14" x14ac:dyDescent="0.3">
      <c r="A446" t="s">
        <v>480</v>
      </c>
      <c r="B446" t="s">
        <v>22</v>
      </c>
      <c r="C446">
        <v>35</v>
      </c>
      <c r="D446" t="s">
        <v>36</v>
      </c>
      <c r="E446" s="1">
        <v>45049</v>
      </c>
      <c r="F446">
        <v>215</v>
      </c>
      <c r="G446">
        <v>4.3</v>
      </c>
      <c r="H446" t="str">
        <f>TEXT(calls[[#This Row],[Date of Call]],"DDDD")</f>
        <v>Wednesday</v>
      </c>
      <c r="I446">
        <f>ROUND(calls[[#This Row],[Satisfaction Rating]],0)</f>
        <v>4</v>
      </c>
      <c r="N446" t="str" cm="1">
        <f t="array" ref="N446">_xlfn.IFS(_xlfn.SINGLE(calls[Duration])&lt;30,"UNDER 30 MINS",_xlfn.SINGLE(calls[Duration])&lt;60,"30 T0 60 MINS",_xlfn.SINGLE(calls[Duration])&lt;120,"1 TO 2 HRS",TRUE,"ABOVE 2 HRS")</f>
        <v>30 T0 60 MINS</v>
      </c>
    </row>
    <row r="447" spans="1:14" x14ac:dyDescent="0.3">
      <c r="A447" t="s">
        <v>481</v>
      </c>
      <c r="B447" t="s">
        <v>12</v>
      </c>
      <c r="C447">
        <v>96</v>
      </c>
      <c r="D447" t="s">
        <v>23</v>
      </c>
      <c r="E447" s="1">
        <v>45049</v>
      </c>
      <c r="F447">
        <v>46</v>
      </c>
      <c r="G447">
        <v>0.7</v>
      </c>
      <c r="H447" t="str">
        <f>TEXT(calls[[#This Row],[Date of Call]],"DDDD")</f>
        <v>Wednesday</v>
      </c>
      <c r="I447">
        <f>ROUND(calls[[#This Row],[Satisfaction Rating]],0)</f>
        <v>1</v>
      </c>
      <c r="N447" t="str" cm="1">
        <f t="array" ref="N447">_xlfn.IFS(_xlfn.SINGLE(calls[Duration])&lt;30,"UNDER 30 MINS",_xlfn.SINGLE(calls[Duration])&lt;60,"30 T0 60 MINS",_xlfn.SINGLE(calls[Duration])&lt;120,"1 TO 2 HRS",TRUE,"ABOVE 2 HRS")</f>
        <v>1 TO 2 HRS</v>
      </c>
    </row>
    <row r="448" spans="1:14" x14ac:dyDescent="0.3">
      <c r="A448" t="s">
        <v>482</v>
      </c>
      <c r="B448" t="s">
        <v>39</v>
      </c>
      <c r="C448">
        <v>61</v>
      </c>
      <c r="D448" t="s">
        <v>42</v>
      </c>
      <c r="E448" s="1">
        <v>45049</v>
      </c>
      <c r="F448">
        <v>115</v>
      </c>
      <c r="G448">
        <v>3.7</v>
      </c>
      <c r="H448" t="str">
        <f>TEXT(calls[[#This Row],[Date of Call]],"DDDD")</f>
        <v>Wednesday</v>
      </c>
      <c r="I448">
        <f>ROUND(calls[[#This Row],[Satisfaction Rating]],0)</f>
        <v>4</v>
      </c>
      <c r="N448" t="str" cm="1">
        <f t="array" ref="N448">_xlfn.IFS(_xlfn.SINGLE(calls[Duration])&lt;30,"UNDER 30 MINS",_xlfn.SINGLE(calls[Duration])&lt;60,"30 T0 60 MINS",_xlfn.SINGLE(calls[Duration])&lt;120,"1 TO 2 HRS",TRUE,"ABOVE 2 HRS")</f>
        <v>1 TO 2 HRS</v>
      </c>
    </row>
    <row r="449" spans="1:14" x14ac:dyDescent="0.3">
      <c r="A449" t="s">
        <v>483</v>
      </c>
      <c r="B449" t="s">
        <v>12</v>
      </c>
      <c r="C449">
        <v>91</v>
      </c>
      <c r="D449" t="s">
        <v>42</v>
      </c>
      <c r="E449" s="1">
        <v>45049</v>
      </c>
      <c r="F449">
        <v>124</v>
      </c>
      <c r="G449">
        <v>3.9</v>
      </c>
      <c r="H449" t="str">
        <f>TEXT(calls[[#This Row],[Date of Call]],"DDDD")</f>
        <v>Wednesday</v>
      </c>
      <c r="I449">
        <f>ROUND(calls[[#This Row],[Satisfaction Rating]],0)</f>
        <v>4</v>
      </c>
      <c r="N449" t="str" cm="1">
        <f t="array" ref="N449">_xlfn.IFS(_xlfn.SINGLE(calls[Duration])&lt;30,"UNDER 30 MINS",_xlfn.SINGLE(calls[Duration])&lt;60,"30 T0 60 MINS",_xlfn.SINGLE(calls[Duration])&lt;120,"1 TO 2 HRS",TRUE,"ABOVE 2 HRS")</f>
        <v>1 TO 2 HRS</v>
      </c>
    </row>
    <row r="450" spans="1:14" x14ac:dyDescent="0.3">
      <c r="A450" t="s">
        <v>484</v>
      </c>
      <c r="B450" t="s">
        <v>14</v>
      </c>
      <c r="C450">
        <v>30</v>
      </c>
      <c r="D450" t="s">
        <v>42</v>
      </c>
      <c r="E450" s="1">
        <v>45050</v>
      </c>
      <c r="F450">
        <v>205</v>
      </c>
      <c r="G450">
        <v>4.5</v>
      </c>
      <c r="H450" t="str">
        <f>TEXT(calls[[#This Row],[Date of Call]],"DDDD")</f>
        <v>Thursday</v>
      </c>
      <c r="I450">
        <f>ROUND(calls[[#This Row],[Satisfaction Rating]],0)</f>
        <v>5</v>
      </c>
      <c r="N450" t="str" cm="1">
        <f t="array" ref="N450">_xlfn.IFS(_xlfn.SINGLE(calls[Duration])&lt;30,"UNDER 30 MINS",_xlfn.SINGLE(calls[Duration])&lt;60,"30 T0 60 MINS",_xlfn.SINGLE(calls[Duration])&lt;120,"1 TO 2 HRS",TRUE,"ABOVE 2 HRS")</f>
        <v>30 T0 60 MINS</v>
      </c>
    </row>
    <row r="451" spans="1:14" x14ac:dyDescent="0.3">
      <c r="A451" t="s">
        <v>485</v>
      </c>
      <c r="B451" t="s">
        <v>37</v>
      </c>
      <c r="C451">
        <v>111</v>
      </c>
      <c r="D451" t="s">
        <v>29</v>
      </c>
      <c r="E451" s="1">
        <v>45050</v>
      </c>
      <c r="F451">
        <v>90</v>
      </c>
      <c r="G451">
        <v>2.8</v>
      </c>
      <c r="H451" t="str">
        <f>TEXT(calls[[#This Row],[Date of Call]],"DDDD")</f>
        <v>Thursday</v>
      </c>
      <c r="I451">
        <f>ROUND(calls[[#This Row],[Satisfaction Rating]],0)</f>
        <v>3</v>
      </c>
      <c r="N451" t="str" cm="1">
        <f t="array" ref="N451">_xlfn.IFS(_xlfn.SINGLE(calls[Duration])&lt;30,"UNDER 30 MINS",_xlfn.SINGLE(calls[Duration])&lt;60,"30 T0 60 MINS",_xlfn.SINGLE(calls[Duration])&lt;120,"1 TO 2 HRS",TRUE,"ABOVE 2 HRS")</f>
        <v>1 TO 2 HRS</v>
      </c>
    </row>
    <row r="452" spans="1:14" x14ac:dyDescent="0.3">
      <c r="A452" t="s">
        <v>486</v>
      </c>
      <c r="B452" t="s">
        <v>39</v>
      </c>
      <c r="C452">
        <v>81</v>
      </c>
      <c r="D452" t="s">
        <v>23</v>
      </c>
      <c r="E452" s="1">
        <v>45050</v>
      </c>
      <c r="F452">
        <v>92</v>
      </c>
      <c r="G452">
        <v>4.9000000000000004</v>
      </c>
      <c r="H452" t="str">
        <f>TEXT(calls[[#This Row],[Date of Call]],"DDDD")</f>
        <v>Thursday</v>
      </c>
      <c r="I452">
        <f>ROUND(calls[[#This Row],[Satisfaction Rating]],0)</f>
        <v>5</v>
      </c>
      <c r="N452" t="str" cm="1">
        <f t="array" ref="N452">_xlfn.IFS(_xlfn.SINGLE(calls[Duration])&lt;30,"UNDER 30 MINS",_xlfn.SINGLE(calls[Duration])&lt;60,"30 T0 60 MINS",_xlfn.SINGLE(calls[Duration])&lt;120,"1 TO 2 HRS",TRUE,"ABOVE 2 HRS")</f>
        <v>1 TO 2 HRS</v>
      </c>
    </row>
    <row r="453" spans="1:14" x14ac:dyDescent="0.3">
      <c r="A453" t="s">
        <v>487</v>
      </c>
      <c r="B453" t="s">
        <v>19</v>
      </c>
      <c r="C453">
        <v>40</v>
      </c>
      <c r="D453" t="s">
        <v>36</v>
      </c>
      <c r="E453" s="1">
        <v>45052</v>
      </c>
      <c r="F453">
        <v>108</v>
      </c>
      <c r="G453">
        <v>4.2</v>
      </c>
      <c r="H453" t="str">
        <f>TEXT(calls[[#This Row],[Date of Call]],"DDDD")</f>
        <v>Saturday</v>
      </c>
      <c r="I453">
        <f>ROUND(calls[[#This Row],[Satisfaction Rating]],0)</f>
        <v>4</v>
      </c>
      <c r="N453" t="str" cm="1">
        <f t="array" ref="N453">_xlfn.IFS(_xlfn.SINGLE(calls[Duration])&lt;30,"UNDER 30 MINS",_xlfn.SINGLE(calls[Duration])&lt;60,"30 T0 60 MINS",_xlfn.SINGLE(calls[Duration])&lt;120,"1 TO 2 HRS",TRUE,"ABOVE 2 HRS")</f>
        <v>30 T0 60 MINS</v>
      </c>
    </row>
    <row r="454" spans="1:14" x14ac:dyDescent="0.3">
      <c r="A454" t="s">
        <v>488</v>
      </c>
      <c r="B454" t="s">
        <v>37</v>
      </c>
      <c r="C454">
        <v>143</v>
      </c>
      <c r="D454" t="s">
        <v>36</v>
      </c>
      <c r="E454" s="1">
        <v>45052</v>
      </c>
      <c r="F454">
        <v>54</v>
      </c>
      <c r="G454">
        <v>4.4000000000000004</v>
      </c>
      <c r="H454" t="str">
        <f>TEXT(calls[[#This Row],[Date of Call]],"DDDD")</f>
        <v>Saturday</v>
      </c>
      <c r="I454">
        <f>ROUND(calls[[#This Row],[Satisfaction Rating]],0)</f>
        <v>4</v>
      </c>
      <c r="N454" t="str" cm="1">
        <f t="array" ref="N454">_xlfn.IFS(_xlfn.SINGLE(calls[Duration])&lt;30,"UNDER 30 MINS",_xlfn.SINGLE(calls[Duration])&lt;60,"30 T0 60 MINS",_xlfn.SINGLE(calls[Duration])&lt;120,"1 TO 2 HRS",TRUE,"ABOVE 2 HRS")</f>
        <v>ABOVE 2 HRS</v>
      </c>
    </row>
    <row r="455" spans="1:14" x14ac:dyDescent="0.3">
      <c r="A455" t="s">
        <v>489</v>
      </c>
      <c r="B455" t="s">
        <v>19</v>
      </c>
      <c r="C455">
        <v>70</v>
      </c>
      <c r="D455" t="s">
        <v>36</v>
      </c>
      <c r="E455" s="1">
        <v>45053</v>
      </c>
      <c r="F455">
        <v>44</v>
      </c>
      <c r="G455">
        <v>3.5</v>
      </c>
      <c r="H455" t="str">
        <f>TEXT(calls[[#This Row],[Date of Call]],"DDDD")</f>
        <v>Sunday</v>
      </c>
      <c r="I455">
        <f>ROUND(calls[[#This Row],[Satisfaction Rating]],0)</f>
        <v>4</v>
      </c>
      <c r="N455" t="str" cm="1">
        <f t="array" ref="N455">_xlfn.IFS(_xlfn.SINGLE(calls[Duration])&lt;30,"UNDER 30 MINS",_xlfn.SINGLE(calls[Duration])&lt;60,"30 T0 60 MINS",_xlfn.SINGLE(calls[Duration])&lt;120,"1 TO 2 HRS",TRUE,"ABOVE 2 HRS")</f>
        <v>1 TO 2 HRS</v>
      </c>
    </row>
    <row r="456" spans="1:14" x14ac:dyDescent="0.3">
      <c r="A456" t="s">
        <v>490</v>
      </c>
      <c r="B456" t="s">
        <v>50</v>
      </c>
      <c r="C456">
        <v>137</v>
      </c>
      <c r="D456" t="s">
        <v>36</v>
      </c>
      <c r="E456" s="1">
        <v>45053</v>
      </c>
      <c r="F456">
        <v>44</v>
      </c>
      <c r="G456">
        <v>4.7</v>
      </c>
      <c r="H456" t="str">
        <f>TEXT(calls[[#This Row],[Date of Call]],"DDDD")</f>
        <v>Sunday</v>
      </c>
      <c r="I456">
        <f>ROUND(calls[[#This Row],[Satisfaction Rating]],0)</f>
        <v>5</v>
      </c>
      <c r="N456" t="str" cm="1">
        <f t="array" ref="N456">_xlfn.IFS(_xlfn.SINGLE(calls[Duration])&lt;30,"UNDER 30 MINS",_xlfn.SINGLE(calls[Duration])&lt;60,"30 T0 60 MINS",_xlfn.SINGLE(calls[Duration])&lt;120,"1 TO 2 HRS",TRUE,"ABOVE 2 HRS")</f>
        <v>ABOVE 2 HRS</v>
      </c>
    </row>
    <row r="457" spans="1:14" x14ac:dyDescent="0.3">
      <c r="A457" t="s">
        <v>491</v>
      </c>
      <c r="B457" t="s">
        <v>12</v>
      </c>
      <c r="C457">
        <v>52</v>
      </c>
      <c r="D457" t="s">
        <v>23</v>
      </c>
      <c r="E457" s="1">
        <v>45054</v>
      </c>
      <c r="F457">
        <v>37</v>
      </c>
      <c r="G457">
        <v>4.9000000000000004</v>
      </c>
      <c r="H457" t="str">
        <f>TEXT(calls[[#This Row],[Date of Call]],"DDDD")</f>
        <v>Monday</v>
      </c>
      <c r="I457">
        <f>ROUND(calls[[#This Row],[Satisfaction Rating]],0)</f>
        <v>5</v>
      </c>
      <c r="N457" t="str" cm="1">
        <f t="array" ref="N457">_xlfn.IFS(_xlfn.SINGLE(calls[Duration])&lt;30,"UNDER 30 MINS",_xlfn.SINGLE(calls[Duration])&lt;60,"30 T0 60 MINS",_xlfn.SINGLE(calls[Duration])&lt;120,"1 TO 2 HRS",TRUE,"ABOVE 2 HRS")</f>
        <v>30 T0 60 MINS</v>
      </c>
    </row>
    <row r="458" spans="1:14" x14ac:dyDescent="0.3">
      <c r="A458" t="s">
        <v>492</v>
      </c>
      <c r="B458" t="s">
        <v>18</v>
      </c>
      <c r="C458">
        <v>31</v>
      </c>
      <c r="D458" t="s">
        <v>29</v>
      </c>
      <c r="E458" s="1">
        <v>45054</v>
      </c>
      <c r="F458">
        <v>180</v>
      </c>
      <c r="G458">
        <v>4.5</v>
      </c>
      <c r="H458" t="str">
        <f>TEXT(calls[[#This Row],[Date of Call]],"DDDD")</f>
        <v>Monday</v>
      </c>
      <c r="I458">
        <f>ROUND(calls[[#This Row],[Satisfaction Rating]],0)</f>
        <v>5</v>
      </c>
      <c r="N458" t="str" cm="1">
        <f t="array" ref="N458">_xlfn.IFS(_xlfn.SINGLE(calls[Duration])&lt;30,"UNDER 30 MINS",_xlfn.SINGLE(calls[Duration])&lt;60,"30 T0 60 MINS",_xlfn.SINGLE(calls[Duration])&lt;120,"1 TO 2 HRS",TRUE,"ABOVE 2 HRS")</f>
        <v>30 T0 60 MINS</v>
      </c>
    </row>
    <row r="459" spans="1:14" x14ac:dyDescent="0.3">
      <c r="A459" t="s">
        <v>493</v>
      </c>
      <c r="B459" t="s">
        <v>12</v>
      </c>
      <c r="C459">
        <v>114</v>
      </c>
      <c r="D459" t="s">
        <v>42</v>
      </c>
      <c r="E459" s="1">
        <v>45054</v>
      </c>
      <c r="F459">
        <v>105</v>
      </c>
      <c r="G459">
        <v>4.9000000000000004</v>
      </c>
      <c r="H459" t="str">
        <f>TEXT(calls[[#This Row],[Date of Call]],"DDDD")</f>
        <v>Monday</v>
      </c>
      <c r="I459">
        <f>ROUND(calls[[#This Row],[Satisfaction Rating]],0)</f>
        <v>5</v>
      </c>
      <c r="N459" t="str" cm="1">
        <f t="array" ref="N459">_xlfn.IFS(_xlfn.SINGLE(calls[Duration])&lt;30,"UNDER 30 MINS",_xlfn.SINGLE(calls[Duration])&lt;60,"30 T0 60 MINS",_xlfn.SINGLE(calls[Duration])&lt;120,"1 TO 2 HRS",TRUE,"ABOVE 2 HRS")</f>
        <v>1 TO 2 HRS</v>
      </c>
    </row>
    <row r="460" spans="1:14" x14ac:dyDescent="0.3">
      <c r="A460" t="s">
        <v>494</v>
      </c>
      <c r="B460" t="s">
        <v>50</v>
      </c>
      <c r="C460">
        <v>73</v>
      </c>
      <c r="D460" t="s">
        <v>13</v>
      </c>
      <c r="E460" s="1">
        <v>45054</v>
      </c>
      <c r="F460">
        <v>87</v>
      </c>
      <c r="G460">
        <v>3.6</v>
      </c>
      <c r="H460" t="str">
        <f>TEXT(calls[[#This Row],[Date of Call]],"DDDD")</f>
        <v>Monday</v>
      </c>
      <c r="I460">
        <f>ROUND(calls[[#This Row],[Satisfaction Rating]],0)</f>
        <v>4</v>
      </c>
      <c r="N460" t="str" cm="1">
        <f t="array" ref="N460">_xlfn.IFS(_xlfn.SINGLE(calls[Duration])&lt;30,"UNDER 30 MINS",_xlfn.SINGLE(calls[Duration])&lt;60,"30 T0 60 MINS",_xlfn.SINGLE(calls[Duration])&lt;120,"1 TO 2 HRS",TRUE,"ABOVE 2 HRS")</f>
        <v>1 TO 2 HRS</v>
      </c>
    </row>
    <row r="461" spans="1:14" x14ac:dyDescent="0.3">
      <c r="A461" t="s">
        <v>495</v>
      </c>
      <c r="B461" t="s">
        <v>39</v>
      </c>
      <c r="C461">
        <v>25</v>
      </c>
      <c r="D461" t="s">
        <v>29</v>
      </c>
      <c r="E461" s="1">
        <v>45054</v>
      </c>
      <c r="F461">
        <v>52</v>
      </c>
      <c r="G461">
        <v>3.8</v>
      </c>
      <c r="H461" t="str">
        <f>TEXT(calls[[#This Row],[Date of Call]],"DDDD")</f>
        <v>Monday</v>
      </c>
      <c r="I461">
        <f>ROUND(calls[[#This Row],[Satisfaction Rating]],0)</f>
        <v>4</v>
      </c>
      <c r="N461" t="str" cm="1">
        <f t="array" ref="N461">_xlfn.IFS(_xlfn.SINGLE(calls[Duration])&lt;30,"UNDER 30 MINS",_xlfn.SINGLE(calls[Duration])&lt;60,"30 T0 60 MINS",_xlfn.SINGLE(calls[Duration])&lt;120,"1 TO 2 HRS",TRUE,"ABOVE 2 HRS")</f>
        <v>UNDER 30 MINS</v>
      </c>
    </row>
    <row r="462" spans="1:14" x14ac:dyDescent="0.3">
      <c r="A462" t="s">
        <v>496</v>
      </c>
      <c r="B462" t="s">
        <v>28</v>
      </c>
      <c r="C462">
        <v>44</v>
      </c>
      <c r="D462" t="s">
        <v>42</v>
      </c>
      <c r="E462" s="1">
        <v>45054</v>
      </c>
      <c r="F462">
        <v>63</v>
      </c>
      <c r="G462">
        <v>3.5</v>
      </c>
      <c r="H462" t="str">
        <f>TEXT(calls[[#This Row],[Date of Call]],"DDDD")</f>
        <v>Monday</v>
      </c>
      <c r="I462">
        <f>ROUND(calls[[#This Row],[Satisfaction Rating]],0)</f>
        <v>4</v>
      </c>
      <c r="N462" t="str" cm="1">
        <f t="array" ref="N462">_xlfn.IFS(_xlfn.SINGLE(calls[Duration])&lt;30,"UNDER 30 MINS",_xlfn.SINGLE(calls[Duration])&lt;60,"30 T0 60 MINS",_xlfn.SINGLE(calls[Duration])&lt;120,"1 TO 2 HRS",TRUE,"ABOVE 2 HRS")</f>
        <v>30 T0 60 MINS</v>
      </c>
    </row>
    <row r="463" spans="1:14" x14ac:dyDescent="0.3">
      <c r="A463" t="s">
        <v>497</v>
      </c>
      <c r="B463" t="s">
        <v>31</v>
      </c>
      <c r="C463">
        <v>34</v>
      </c>
      <c r="D463" t="s">
        <v>23</v>
      </c>
      <c r="E463" s="1">
        <v>45055</v>
      </c>
      <c r="F463">
        <v>195</v>
      </c>
      <c r="G463">
        <v>4.8</v>
      </c>
      <c r="H463" t="str">
        <f>TEXT(calls[[#This Row],[Date of Call]],"DDDD")</f>
        <v>Tuesday</v>
      </c>
      <c r="I463">
        <f>ROUND(calls[[#This Row],[Satisfaction Rating]],0)</f>
        <v>5</v>
      </c>
      <c r="N463" t="str" cm="1">
        <f t="array" ref="N463">_xlfn.IFS(_xlfn.SINGLE(calls[Duration])&lt;30,"UNDER 30 MINS",_xlfn.SINGLE(calls[Duration])&lt;60,"30 T0 60 MINS",_xlfn.SINGLE(calls[Duration])&lt;120,"1 TO 2 HRS",TRUE,"ABOVE 2 HRS")</f>
        <v>30 T0 60 MINS</v>
      </c>
    </row>
    <row r="464" spans="1:14" x14ac:dyDescent="0.3">
      <c r="A464" t="s">
        <v>498</v>
      </c>
      <c r="B464" t="s">
        <v>37</v>
      </c>
      <c r="C464">
        <v>89</v>
      </c>
      <c r="D464" t="s">
        <v>36</v>
      </c>
      <c r="E464" s="1">
        <v>45056</v>
      </c>
      <c r="F464">
        <v>176</v>
      </c>
      <c r="G464">
        <v>4.5</v>
      </c>
      <c r="H464" t="str">
        <f>TEXT(calls[[#This Row],[Date of Call]],"DDDD")</f>
        <v>Wednesday</v>
      </c>
      <c r="I464">
        <f>ROUND(calls[[#This Row],[Satisfaction Rating]],0)</f>
        <v>5</v>
      </c>
      <c r="N464" t="str" cm="1">
        <f t="array" ref="N464">_xlfn.IFS(_xlfn.SINGLE(calls[Duration])&lt;30,"UNDER 30 MINS",_xlfn.SINGLE(calls[Duration])&lt;60,"30 T0 60 MINS",_xlfn.SINGLE(calls[Duration])&lt;120,"1 TO 2 HRS",TRUE,"ABOVE 2 HRS")</f>
        <v>1 TO 2 HRS</v>
      </c>
    </row>
    <row r="465" spans="1:14" x14ac:dyDescent="0.3">
      <c r="A465" t="s">
        <v>499</v>
      </c>
      <c r="B465" t="s">
        <v>41</v>
      </c>
      <c r="C465">
        <v>54</v>
      </c>
      <c r="D465" t="s">
        <v>29</v>
      </c>
      <c r="E465" s="1">
        <v>45057</v>
      </c>
      <c r="F465">
        <v>31</v>
      </c>
      <c r="G465">
        <v>3.3</v>
      </c>
      <c r="H465" t="str">
        <f>TEXT(calls[[#This Row],[Date of Call]],"DDDD")</f>
        <v>Thursday</v>
      </c>
      <c r="I465">
        <f>ROUND(calls[[#This Row],[Satisfaction Rating]],0)</f>
        <v>3</v>
      </c>
      <c r="N465" t="str" cm="1">
        <f t="array" ref="N465">_xlfn.IFS(_xlfn.SINGLE(calls[Duration])&lt;30,"UNDER 30 MINS",_xlfn.SINGLE(calls[Duration])&lt;60,"30 T0 60 MINS",_xlfn.SINGLE(calls[Duration])&lt;120,"1 TO 2 HRS",TRUE,"ABOVE 2 HRS")</f>
        <v>30 T0 60 MINS</v>
      </c>
    </row>
    <row r="466" spans="1:14" x14ac:dyDescent="0.3">
      <c r="A466" t="s">
        <v>500</v>
      </c>
      <c r="B466" t="s">
        <v>22</v>
      </c>
      <c r="C466">
        <v>25</v>
      </c>
      <c r="D466" t="s">
        <v>29</v>
      </c>
      <c r="E466" s="1">
        <v>45058</v>
      </c>
      <c r="F466">
        <v>27</v>
      </c>
      <c r="G466">
        <v>3.2</v>
      </c>
      <c r="H466" t="str">
        <f>TEXT(calls[[#This Row],[Date of Call]],"DDDD")</f>
        <v>Friday</v>
      </c>
      <c r="I466">
        <f>ROUND(calls[[#This Row],[Satisfaction Rating]],0)</f>
        <v>3</v>
      </c>
      <c r="N466" t="str" cm="1">
        <f t="array" ref="N466">_xlfn.IFS(_xlfn.SINGLE(calls[Duration])&lt;30,"UNDER 30 MINS",_xlfn.SINGLE(calls[Duration])&lt;60,"30 T0 60 MINS",_xlfn.SINGLE(calls[Duration])&lt;120,"1 TO 2 HRS",TRUE,"ABOVE 2 HRS")</f>
        <v>UNDER 30 MINS</v>
      </c>
    </row>
    <row r="467" spans="1:14" x14ac:dyDescent="0.3">
      <c r="A467" t="s">
        <v>501</v>
      </c>
      <c r="B467" t="s">
        <v>45</v>
      </c>
      <c r="C467">
        <v>91</v>
      </c>
      <c r="D467" t="s">
        <v>36</v>
      </c>
      <c r="E467" s="1">
        <v>45058</v>
      </c>
      <c r="F467">
        <v>76</v>
      </c>
      <c r="G467">
        <v>4.9000000000000004</v>
      </c>
      <c r="H467" t="str">
        <f>TEXT(calls[[#This Row],[Date of Call]],"DDDD")</f>
        <v>Friday</v>
      </c>
      <c r="I467">
        <f>ROUND(calls[[#This Row],[Satisfaction Rating]],0)</f>
        <v>5</v>
      </c>
      <c r="N467" t="str" cm="1">
        <f t="array" ref="N467">_xlfn.IFS(_xlfn.SINGLE(calls[Duration])&lt;30,"UNDER 30 MINS",_xlfn.SINGLE(calls[Duration])&lt;60,"30 T0 60 MINS",_xlfn.SINGLE(calls[Duration])&lt;120,"1 TO 2 HRS",TRUE,"ABOVE 2 HRS")</f>
        <v>1 TO 2 HRS</v>
      </c>
    </row>
    <row r="468" spans="1:14" x14ac:dyDescent="0.3">
      <c r="A468" t="s">
        <v>502</v>
      </c>
      <c r="B468" t="s">
        <v>28</v>
      </c>
      <c r="C468">
        <v>144</v>
      </c>
      <c r="D468" t="s">
        <v>42</v>
      </c>
      <c r="E468" s="1">
        <v>45058</v>
      </c>
      <c r="F468">
        <v>62</v>
      </c>
      <c r="G468">
        <v>4.8</v>
      </c>
      <c r="H468" t="str">
        <f>TEXT(calls[[#This Row],[Date of Call]],"DDDD")</f>
        <v>Friday</v>
      </c>
      <c r="I468">
        <f>ROUND(calls[[#This Row],[Satisfaction Rating]],0)</f>
        <v>5</v>
      </c>
      <c r="N468" t="str" cm="1">
        <f t="array" ref="N468">_xlfn.IFS(_xlfn.SINGLE(calls[Duration])&lt;30,"UNDER 30 MINS",_xlfn.SINGLE(calls[Duration])&lt;60,"30 T0 60 MINS",_xlfn.SINGLE(calls[Duration])&lt;120,"1 TO 2 HRS",TRUE,"ABOVE 2 HRS")</f>
        <v>ABOVE 2 HRS</v>
      </c>
    </row>
    <row r="469" spans="1:14" x14ac:dyDescent="0.3">
      <c r="A469" t="s">
        <v>503</v>
      </c>
      <c r="B469" t="s">
        <v>45</v>
      </c>
      <c r="C469">
        <v>81</v>
      </c>
      <c r="D469" t="s">
        <v>23</v>
      </c>
      <c r="E469" s="1">
        <v>45060</v>
      </c>
      <c r="F469">
        <v>100</v>
      </c>
      <c r="G469">
        <v>1.3</v>
      </c>
      <c r="H469" t="str">
        <f>TEXT(calls[[#This Row],[Date of Call]],"DDDD")</f>
        <v>Sunday</v>
      </c>
      <c r="I469">
        <f>ROUND(calls[[#This Row],[Satisfaction Rating]],0)</f>
        <v>1</v>
      </c>
      <c r="N469" t="str" cm="1">
        <f t="array" ref="N469">_xlfn.IFS(_xlfn.SINGLE(calls[Duration])&lt;30,"UNDER 30 MINS",_xlfn.SINGLE(calls[Duration])&lt;60,"30 T0 60 MINS",_xlfn.SINGLE(calls[Duration])&lt;120,"1 TO 2 HRS",TRUE,"ABOVE 2 HRS")</f>
        <v>1 TO 2 HRS</v>
      </c>
    </row>
    <row r="470" spans="1:14" x14ac:dyDescent="0.3">
      <c r="A470" t="s">
        <v>504</v>
      </c>
      <c r="B470" t="s">
        <v>14</v>
      </c>
      <c r="C470">
        <v>92</v>
      </c>
      <c r="D470" t="s">
        <v>29</v>
      </c>
      <c r="E470" s="1">
        <v>45060</v>
      </c>
      <c r="F470">
        <v>44</v>
      </c>
      <c r="G470">
        <v>3.1</v>
      </c>
      <c r="H470" t="str">
        <f>TEXT(calls[[#This Row],[Date of Call]],"DDDD")</f>
        <v>Sunday</v>
      </c>
      <c r="I470">
        <f>ROUND(calls[[#This Row],[Satisfaction Rating]],0)</f>
        <v>3</v>
      </c>
      <c r="N470" t="str" cm="1">
        <f t="array" ref="N470">_xlfn.IFS(_xlfn.SINGLE(calls[Duration])&lt;30,"UNDER 30 MINS",_xlfn.SINGLE(calls[Duration])&lt;60,"30 T0 60 MINS",_xlfn.SINGLE(calls[Duration])&lt;120,"1 TO 2 HRS",TRUE,"ABOVE 2 HRS")</f>
        <v>1 TO 2 HRS</v>
      </c>
    </row>
    <row r="471" spans="1:14" x14ac:dyDescent="0.3">
      <c r="A471" t="s">
        <v>505</v>
      </c>
      <c r="B471" t="s">
        <v>22</v>
      </c>
      <c r="C471">
        <v>115</v>
      </c>
      <c r="D471" t="s">
        <v>36</v>
      </c>
      <c r="E471" s="1">
        <v>45060</v>
      </c>
      <c r="F471">
        <v>168</v>
      </c>
      <c r="G471">
        <v>3.4</v>
      </c>
      <c r="H471" t="str">
        <f>TEXT(calls[[#This Row],[Date of Call]],"DDDD")</f>
        <v>Sunday</v>
      </c>
      <c r="I471">
        <f>ROUND(calls[[#This Row],[Satisfaction Rating]],0)</f>
        <v>3</v>
      </c>
      <c r="N471" t="str" cm="1">
        <f t="array" ref="N471">_xlfn.IFS(_xlfn.SINGLE(calls[Duration])&lt;30,"UNDER 30 MINS",_xlfn.SINGLE(calls[Duration])&lt;60,"30 T0 60 MINS",_xlfn.SINGLE(calls[Duration])&lt;120,"1 TO 2 HRS",TRUE,"ABOVE 2 HRS")</f>
        <v>1 TO 2 HRS</v>
      </c>
    </row>
    <row r="472" spans="1:14" x14ac:dyDescent="0.3">
      <c r="A472" t="s">
        <v>506</v>
      </c>
      <c r="B472" t="s">
        <v>33</v>
      </c>
      <c r="C472">
        <v>56</v>
      </c>
      <c r="D472" t="s">
        <v>36</v>
      </c>
      <c r="E472" s="1">
        <v>45061</v>
      </c>
      <c r="F472">
        <v>200</v>
      </c>
      <c r="G472">
        <v>4.5999999999999996</v>
      </c>
      <c r="H472" t="str">
        <f>TEXT(calls[[#This Row],[Date of Call]],"DDDD")</f>
        <v>Monday</v>
      </c>
      <c r="I472">
        <f>ROUND(calls[[#This Row],[Satisfaction Rating]],0)</f>
        <v>5</v>
      </c>
      <c r="N472" t="str" cm="1">
        <f t="array" ref="N472">_xlfn.IFS(_xlfn.SINGLE(calls[Duration])&lt;30,"UNDER 30 MINS",_xlfn.SINGLE(calls[Duration])&lt;60,"30 T0 60 MINS",_xlfn.SINGLE(calls[Duration])&lt;120,"1 TO 2 HRS",TRUE,"ABOVE 2 HRS")</f>
        <v>30 T0 60 MINS</v>
      </c>
    </row>
    <row r="473" spans="1:14" x14ac:dyDescent="0.3">
      <c r="A473" t="s">
        <v>507</v>
      </c>
      <c r="B473" t="s">
        <v>18</v>
      </c>
      <c r="C473">
        <v>154</v>
      </c>
      <c r="D473" t="s">
        <v>29</v>
      </c>
      <c r="E473" s="1">
        <v>45061</v>
      </c>
      <c r="F473">
        <v>84</v>
      </c>
      <c r="G473">
        <v>4.3</v>
      </c>
      <c r="H473" t="str">
        <f>TEXT(calls[[#This Row],[Date of Call]],"DDDD")</f>
        <v>Monday</v>
      </c>
      <c r="I473">
        <f>ROUND(calls[[#This Row],[Satisfaction Rating]],0)</f>
        <v>4</v>
      </c>
      <c r="N473" t="str" cm="1">
        <f t="array" ref="N473">_xlfn.IFS(_xlfn.SINGLE(calls[Duration])&lt;30,"UNDER 30 MINS",_xlfn.SINGLE(calls[Duration])&lt;60,"30 T0 60 MINS",_xlfn.SINGLE(calls[Duration])&lt;120,"1 TO 2 HRS",TRUE,"ABOVE 2 HRS")</f>
        <v>ABOVE 2 HRS</v>
      </c>
    </row>
    <row r="474" spans="1:14" x14ac:dyDescent="0.3">
      <c r="A474" t="s">
        <v>508</v>
      </c>
      <c r="B474" t="s">
        <v>37</v>
      </c>
      <c r="C474">
        <v>51</v>
      </c>
      <c r="D474" t="s">
        <v>36</v>
      </c>
      <c r="E474" s="1">
        <v>45062</v>
      </c>
      <c r="F474">
        <v>117</v>
      </c>
      <c r="G474">
        <v>2.7</v>
      </c>
      <c r="H474" t="str">
        <f>TEXT(calls[[#This Row],[Date of Call]],"DDDD")</f>
        <v>Tuesday</v>
      </c>
      <c r="I474">
        <f>ROUND(calls[[#This Row],[Satisfaction Rating]],0)</f>
        <v>3</v>
      </c>
      <c r="N474" t="str" cm="1">
        <f t="array" ref="N474">_xlfn.IFS(_xlfn.SINGLE(calls[Duration])&lt;30,"UNDER 30 MINS",_xlfn.SINGLE(calls[Duration])&lt;60,"30 T0 60 MINS",_xlfn.SINGLE(calls[Duration])&lt;120,"1 TO 2 HRS",TRUE,"ABOVE 2 HRS")</f>
        <v>30 T0 60 MINS</v>
      </c>
    </row>
    <row r="475" spans="1:14" x14ac:dyDescent="0.3">
      <c r="A475" t="s">
        <v>509</v>
      </c>
      <c r="B475" t="s">
        <v>31</v>
      </c>
      <c r="C475">
        <v>21</v>
      </c>
      <c r="D475" t="s">
        <v>23</v>
      </c>
      <c r="E475" s="1">
        <v>45062</v>
      </c>
      <c r="F475">
        <v>63</v>
      </c>
      <c r="G475">
        <v>4.2</v>
      </c>
      <c r="H475" t="str">
        <f>TEXT(calls[[#This Row],[Date of Call]],"DDDD")</f>
        <v>Tuesday</v>
      </c>
      <c r="I475">
        <f>ROUND(calls[[#This Row],[Satisfaction Rating]],0)</f>
        <v>4</v>
      </c>
      <c r="N475" t="str" cm="1">
        <f t="array" ref="N475">_xlfn.IFS(_xlfn.SINGLE(calls[Duration])&lt;30,"UNDER 30 MINS",_xlfn.SINGLE(calls[Duration])&lt;60,"30 T0 60 MINS",_xlfn.SINGLE(calls[Duration])&lt;120,"1 TO 2 HRS",TRUE,"ABOVE 2 HRS")</f>
        <v>UNDER 30 MINS</v>
      </c>
    </row>
    <row r="476" spans="1:14" x14ac:dyDescent="0.3">
      <c r="A476" t="s">
        <v>510</v>
      </c>
      <c r="B476" t="s">
        <v>22</v>
      </c>
      <c r="C476">
        <v>80</v>
      </c>
      <c r="D476" t="s">
        <v>36</v>
      </c>
      <c r="E476" s="1">
        <v>45063</v>
      </c>
      <c r="F476">
        <v>145</v>
      </c>
      <c r="G476">
        <v>4.9000000000000004</v>
      </c>
      <c r="H476" t="str">
        <f>TEXT(calls[[#This Row],[Date of Call]],"DDDD")</f>
        <v>Wednesday</v>
      </c>
      <c r="I476">
        <f>ROUND(calls[[#This Row],[Satisfaction Rating]],0)</f>
        <v>5</v>
      </c>
      <c r="N476" t="str" cm="1">
        <f t="array" ref="N476">_xlfn.IFS(_xlfn.SINGLE(calls[Duration])&lt;30,"UNDER 30 MINS",_xlfn.SINGLE(calls[Duration])&lt;60,"30 T0 60 MINS",_xlfn.SINGLE(calls[Duration])&lt;120,"1 TO 2 HRS",TRUE,"ABOVE 2 HRS")</f>
        <v>1 TO 2 HRS</v>
      </c>
    </row>
    <row r="477" spans="1:14" x14ac:dyDescent="0.3">
      <c r="A477" t="s">
        <v>511</v>
      </c>
      <c r="B477" t="s">
        <v>37</v>
      </c>
      <c r="C477">
        <v>139</v>
      </c>
      <c r="D477" t="s">
        <v>29</v>
      </c>
      <c r="E477" s="1">
        <v>45063</v>
      </c>
      <c r="F477">
        <v>220</v>
      </c>
      <c r="G477">
        <v>3.2</v>
      </c>
      <c r="H477" t="str">
        <f>TEXT(calls[[#This Row],[Date of Call]],"DDDD")</f>
        <v>Wednesday</v>
      </c>
      <c r="I477">
        <f>ROUND(calls[[#This Row],[Satisfaction Rating]],0)</f>
        <v>3</v>
      </c>
      <c r="N477" t="str" cm="1">
        <f t="array" ref="N477">_xlfn.IFS(_xlfn.SINGLE(calls[Duration])&lt;30,"UNDER 30 MINS",_xlfn.SINGLE(calls[Duration])&lt;60,"30 T0 60 MINS",_xlfn.SINGLE(calls[Duration])&lt;120,"1 TO 2 HRS",TRUE,"ABOVE 2 HRS")</f>
        <v>ABOVE 2 HRS</v>
      </c>
    </row>
    <row r="478" spans="1:14" x14ac:dyDescent="0.3">
      <c r="A478" t="s">
        <v>512</v>
      </c>
      <c r="B478" t="s">
        <v>19</v>
      </c>
      <c r="C478">
        <v>50</v>
      </c>
      <c r="D478" t="s">
        <v>23</v>
      </c>
      <c r="E478" s="1">
        <v>45063</v>
      </c>
      <c r="F478">
        <v>26</v>
      </c>
      <c r="G478">
        <v>4.7</v>
      </c>
      <c r="H478" t="str">
        <f>TEXT(calls[[#This Row],[Date of Call]],"DDDD")</f>
        <v>Wednesday</v>
      </c>
      <c r="I478">
        <f>ROUND(calls[[#This Row],[Satisfaction Rating]],0)</f>
        <v>5</v>
      </c>
      <c r="N478" t="str" cm="1">
        <f t="array" ref="N478">_xlfn.IFS(_xlfn.SINGLE(calls[Duration])&lt;30,"UNDER 30 MINS",_xlfn.SINGLE(calls[Duration])&lt;60,"30 T0 60 MINS",_xlfn.SINGLE(calls[Duration])&lt;120,"1 TO 2 HRS",TRUE,"ABOVE 2 HRS")</f>
        <v>30 T0 60 MINS</v>
      </c>
    </row>
    <row r="479" spans="1:14" x14ac:dyDescent="0.3">
      <c r="A479" t="s">
        <v>513</v>
      </c>
      <c r="B479" t="s">
        <v>22</v>
      </c>
      <c r="C479">
        <v>88</v>
      </c>
      <c r="D479" t="s">
        <v>36</v>
      </c>
      <c r="E479" s="1">
        <v>45063</v>
      </c>
      <c r="F479">
        <v>78</v>
      </c>
      <c r="G479">
        <v>4.3</v>
      </c>
      <c r="H479" t="str">
        <f>TEXT(calls[[#This Row],[Date of Call]],"DDDD")</f>
        <v>Wednesday</v>
      </c>
      <c r="I479">
        <f>ROUND(calls[[#This Row],[Satisfaction Rating]],0)</f>
        <v>4</v>
      </c>
      <c r="N479" t="str" cm="1">
        <f t="array" ref="N479">_xlfn.IFS(_xlfn.SINGLE(calls[Duration])&lt;30,"UNDER 30 MINS",_xlfn.SINGLE(calls[Duration])&lt;60,"30 T0 60 MINS",_xlfn.SINGLE(calls[Duration])&lt;120,"1 TO 2 HRS",TRUE,"ABOVE 2 HRS")</f>
        <v>1 TO 2 HRS</v>
      </c>
    </row>
    <row r="480" spans="1:14" x14ac:dyDescent="0.3">
      <c r="A480" t="s">
        <v>514</v>
      </c>
      <c r="B480" t="s">
        <v>41</v>
      </c>
      <c r="C480">
        <v>19</v>
      </c>
      <c r="D480" t="s">
        <v>42</v>
      </c>
      <c r="E480" s="1">
        <v>45064</v>
      </c>
      <c r="F480">
        <v>132</v>
      </c>
      <c r="G480">
        <v>4.3</v>
      </c>
      <c r="H480" t="str">
        <f>TEXT(calls[[#This Row],[Date of Call]],"DDDD")</f>
        <v>Thursday</v>
      </c>
      <c r="I480">
        <f>ROUND(calls[[#This Row],[Satisfaction Rating]],0)</f>
        <v>4</v>
      </c>
      <c r="N480" t="str" cm="1">
        <f t="array" ref="N480">_xlfn.IFS(_xlfn.SINGLE(calls[Duration])&lt;30,"UNDER 30 MINS",_xlfn.SINGLE(calls[Duration])&lt;60,"30 T0 60 MINS",_xlfn.SINGLE(calls[Duration])&lt;120,"1 TO 2 HRS",TRUE,"ABOVE 2 HRS")</f>
        <v>UNDER 30 MINS</v>
      </c>
    </row>
    <row r="481" spans="1:14" x14ac:dyDescent="0.3">
      <c r="A481" t="s">
        <v>515</v>
      </c>
      <c r="B481" t="s">
        <v>39</v>
      </c>
      <c r="C481">
        <v>104</v>
      </c>
      <c r="D481" t="s">
        <v>42</v>
      </c>
      <c r="E481" s="1">
        <v>45065</v>
      </c>
      <c r="F481">
        <v>68</v>
      </c>
      <c r="G481">
        <v>3.7</v>
      </c>
      <c r="H481" t="str">
        <f>TEXT(calls[[#This Row],[Date of Call]],"DDDD")</f>
        <v>Friday</v>
      </c>
      <c r="I481">
        <f>ROUND(calls[[#This Row],[Satisfaction Rating]],0)</f>
        <v>4</v>
      </c>
      <c r="N481" t="str" cm="1">
        <f t="array" ref="N481">_xlfn.IFS(_xlfn.SINGLE(calls[Duration])&lt;30,"UNDER 30 MINS",_xlfn.SINGLE(calls[Duration])&lt;60,"30 T0 60 MINS",_xlfn.SINGLE(calls[Duration])&lt;120,"1 TO 2 HRS",TRUE,"ABOVE 2 HRS")</f>
        <v>1 TO 2 HRS</v>
      </c>
    </row>
    <row r="482" spans="1:14" x14ac:dyDescent="0.3">
      <c r="A482" t="s">
        <v>516</v>
      </c>
      <c r="B482" t="s">
        <v>18</v>
      </c>
      <c r="C482">
        <v>67</v>
      </c>
      <c r="D482" t="s">
        <v>29</v>
      </c>
      <c r="E482" s="1">
        <v>45067</v>
      </c>
      <c r="F482">
        <v>129</v>
      </c>
      <c r="G482">
        <v>4.7</v>
      </c>
      <c r="H482" t="str">
        <f>TEXT(calls[[#This Row],[Date of Call]],"DDDD")</f>
        <v>Sunday</v>
      </c>
      <c r="I482">
        <f>ROUND(calls[[#This Row],[Satisfaction Rating]],0)</f>
        <v>5</v>
      </c>
      <c r="N482" t="str" cm="1">
        <f t="array" ref="N482">_xlfn.IFS(_xlfn.SINGLE(calls[Duration])&lt;30,"UNDER 30 MINS",_xlfn.SINGLE(calls[Duration])&lt;60,"30 T0 60 MINS",_xlfn.SINGLE(calls[Duration])&lt;120,"1 TO 2 HRS",TRUE,"ABOVE 2 HRS")</f>
        <v>1 TO 2 HRS</v>
      </c>
    </row>
    <row r="483" spans="1:14" x14ac:dyDescent="0.3">
      <c r="A483" t="s">
        <v>517</v>
      </c>
      <c r="B483" t="s">
        <v>46</v>
      </c>
      <c r="C483">
        <v>107</v>
      </c>
      <c r="D483" t="s">
        <v>42</v>
      </c>
      <c r="E483" s="1">
        <v>45067</v>
      </c>
      <c r="F483">
        <v>115</v>
      </c>
      <c r="G483">
        <v>4.9000000000000004</v>
      </c>
      <c r="H483" t="str">
        <f>TEXT(calls[[#This Row],[Date of Call]],"DDDD")</f>
        <v>Sunday</v>
      </c>
      <c r="I483">
        <f>ROUND(calls[[#This Row],[Satisfaction Rating]],0)</f>
        <v>5</v>
      </c>
      <c r="N483" t="str" cm="1">
        <f t="array" ref="N483">_xlfn.IFS(_xlfn.SINGLE(calls[Duration])&lt;30,"UNDER 30 MINS",_xlfn.SINGLE(calls[Duration])&lt;60,"30 T0 60 MINS",_xlfn.SINGLE(calls[Duration])&lt;120,"1 TO 2 HRS",TRUE,"ABOVE 2 HRS")</f>
        <v>1 TO 2 HRS</v>
      </c>
    </row>
    <row r="484" spans="1:14" x14ac:dyDescent="0.3">
      <c r="A484" t="s">
        <v>518</v>
      </c>
      <c r="B484" t="s">
        <v>46</v>
      </c>
      <c r="C484">
        <v>93</v>
      </c>
      <c r="D484" t="s">
        <v>42</v>
      </c>
      <c r="E484" s="1">
        <v>45067</v>
      </c>
      <c r="F484">
        <v>128</v>
      </c>
      <c r="G484">
        <v>3.9</v>
      </c>
      <c r="H484" t="str">
        <f>TEXT(calls[[#This Row],[Date of Call]],"DDDD")</f>
        <v>Sunday</v>
      </c>
      <c r="I484">
        <f>ROUND(calls[[#This Row],[Satisfaction Rating]],0)</f>
        <v>4</v>
      </c>
      <c r="N484" t="str" cm="1">
        <f t="array" ref="N484">_xlfn.IFS(_xlfn.SINGLE(calls[Duration])&lt;30,"UNDER 30 MINS",_xlfn.SINGLE(calls[Duration])&lt;60,"30 T0 60 MINS",_xlfn.SINGLE(calls[Duration])&lt;120,"1 TO 2 HRS",TRUE,"ABOVE 2 HRS")</f>
        <v>1 TO 2 HRS</v>
      </c>
    </row>
    <row r="485" spans="1:14" x14ac:dyDescent="0.3">
      <c r="A485" t="s">
        <v>519</v>
      </c>
      <c r="B485" t="s">
        <v>46</v>
      </c>
      <c r="C485">
        <v>117</v>
      </c>
      <c r="D485" t="s">
        <v>29</v>
      </c>
      <c r="E485" s="1">
        <v>45067</v>
      </c>
      <c r="F485">
        <v>90</v>
      </c>
      <c r="G485">
        <v>4.5</v>
      </c>
      <c r="H485" t="str">
        <f>TEXT(calls[[#This Row],[Date of Call]],"DDDD")</f>
        <v>Sunday</v>
      </c>
      <c r="I485">
        <f>ROUND(calls[[#This Row],[Satisfaction Rating]],0)</f>
        <v>5</v>
      </c>
      <c r="N485" t="str" cm="1">
        <f t="array" ref="N485">_xlfn.IFS(_xlfn.SINGLE(calls[Duration])&lt;30,"UNDER 30 MINS",_xlfn.SINGLE(calls[Duration])&lt;60,"30 T0 60 MINS",_xlfn.SINGLE(calls[Duration])&lt;120,"1 TO 2 HRS",TRUE,"ABOVE 2 HRS")</f>
        <v>1 TO 2 HRS</v>
      </c>
    </row>
    <row r="486" spans="1:14" x14ac:dyDescent="0.3">
      <c r="A486" t="s">
        <v>520</v>
      </c>
      <c r="B486" t="s">
        <v>19</v>
      </c>
      <c r="C486">
        <v>76</v>
      </c>
      <c r="D486" t="s">
        <v>36</v>
      </c>
      <c r="E486" s="1">
        <v>45068</v>
      </c>
      <c r="F486">
        <v>39</v>
      </c>
      <c r="G486">
        <v>4.5999999999999996</v>
      </c>
      <c r="H486" t="str">
        <f>TEXT(calls[[#This Row],[Date of Call]],"DDDD")</f>
        <v>Monday</v>
      </c>
      <c r="I486">
        <f>ROUND(calls[[#This Row],[Satisfaction Rating]],0)</f>
        <v>5</v>
      </c>
      <c r="N486" t="str" cm="1">
        <f t="array" ref="N486">_xlfn.IFS(_xlfn.SINGLE(calls[Duration])&lt;30,"UNDER 30 MINS",_xlfn.SINGLE(calls[Duration])&lt;60,"30 T0 60 MINS",_xlfn.SINGLE(calls[Duration])&lt;120,"1 TO 2 HRS",TRUE,"ABOVE 2 HRS")</f>
        <v>1 TO 2 HRS</v>
      </c>
    </row>
    <row r="487" spans="1:14" x14ac:dyDescent="0.3">
      <c r="A487" t="s">
        <v>521</v>
      </c>
      <c r="B487" t="s">
        <v>41</v>
      </c>
      <c r="C487">
        <v>64</v>
      </c>
      <c r="D487" t="s">
        <v>42</v>
      </c>
      <c r="E487" s="1">
        <v>45068</v>
      </c>
      <c r="F487">
        <v>132</v>
      </c>
      <c r="G487">
        <v>3.3</v>
      </c>
      <c r="H487" t="str">
        <f>TEXT(calls[[#This Row],[Date of Call]],"DDDD")</f>
        <v>Monday</v>
      </c>
      <c r="I487">
        <f>ROUND(calls[[#This Row],[Satisfaction Rating]],0)</f>
        <v>3</v>
      </c>
      <c r="N487" t="str" cm="1">
        <f t="array" ref="N487">_xlfn.IFS(_xlfn.SINGLE(calls[Duration])&lt;30,"UNDER 30 MINS",_xlfn.SINGLE(calls[Duration])&lt;60,"30 T0 60 MINS",_xlfn.SINGLE(calls[Duration])&lt;120,"1 TO 2 HRS",TRUE,"ABOVE 2 HRS")</f>
        <v>1 TO 2 HRS</v>
      </c>
    </row>
    <row r="488" spans="1:14" x14ac:dyDescent="0.3">
      <c r="A488" t="s">
        <v>522</v>
      </c>
      <c r="B488" t="s">
        <v>28</v>
      </c>
      <c r="C488">
        <v>33</v>
      </c>
      <c r="D488" t="s">
        <v>42</v>
      </c>
      <c r="E488" s="1">
        <v>45068</v>
      </c>
      <c r="F488">
        <v>170</v>
      </c>
      <c r="G488">
        <v>3.8</v>
      </c>
      <c r="H488" t="str">
        <f>TEXT(calls[[#This Row],[Date of Call]],"DDDD")</f>
        <v>Monday</v>
      </c>
      <c r="I488">
        <f>ROUND(calls[[#This Row],[Satisfaction Rating]],0)</f>
        <v>4</v>
      </c>
      <c r="N488" t="str" cm="1">
        <f t="array" ref="N488">_xlfn.IFS(_xlfn.SINGLE(calls[Duration])&lt;30,"UNDER 30 MINS",_xlfn.SINGLE(calls[Duration])&lt;60,"30 T0 60 MINS",_xlfn.SINGLE(calls[Duration])&lt;120,"1 TO 2 HRS",TRUE,"ABOVE 2 HRS")</f>
        <v>30 T0 60 MINS</v>
      </c>
    </row>
    <row r="489" spans="1:14" x14ac:dyDescent="0.3">
      <c r="A489" t="s">
        <v>523</v>
      </c>
      <c r="B489" t="s">
        <v>46</v>
      </c>
      <c r="C489">
        <v>115</v>
      </c>
      <c r="D489" t="s">
        <v>29</v>
      </c>
      <c r="E489" s="1">
        <v>45068</v>
      </c>
      <c r="F489">
        <v>42</v>
      </c>
      <c r="G489">
        <v>4.7</v>
      </c>
      <c r="H489" t="str">
        <f>TEXT(calls[[#This Row],[Date of Call]],"DDDD")</f>
        <v>Monday</v>
      </c>
      <c r="I489">
        <f>ROUND(calls[[#This Row],[Satisfaction Rating]],0)</f>
        <v>5</v>
      </c>
      <c r="N489" t="str" cm="1">
        <f t="array" ref="N489">_xlfn.IFS(_xlfn.SINGLE(calls[Duration])&lt;30,"UNDER 30 MINS",_xlfn.SINGLE(calls[Duration])&lt;60,"30 T0 60 MINS",_xlfn.SINGLE(calls[Duration])&lt;120,"1 TO 2 HRS",TRUE,"ABOVE 2 HRS")</f>
        <v>1 TO 2 HRS</v>
      </c>
    </row>
    <row r="490" spans="1:14" x14ac:dyDescent="0.3">
      <c r="A490" t="s">
        <v>524</v>
      </c>
      <c r="B490" t="s">
        <v>26</v>
      </c>
      <c r="C490">
        <v>155</v>
      </c>
      <c r="D490" t="s">
        <v>36</v>
      </c>
      <c r="E490" s="1">
        <v>45069</v>
      </c>
      <c r="F490">
        <v>37</v>
      </c>
      <c r="G490">
        <v>4</v>
      </c>
      <c r="H490" t="str">
        <f>TEXT(calls[[#This Row],[Date of Call]],"DDDD")</f>
        <v>Tuesday</v>
      </c>
      <c r="I490">
        <f>ROUND(calls[[#This Row],[Satisfaction Rating]],0)</f>
        <v>4</v>
      </c>
      <c r="N490" t="str" cm="1">
        <f t="array" ref="N490">_xlfn.IFS(_xlfn.SINGLE(calls[Duration])&lt;30,"UNDER 30 MINS",_xlfn.SINGLE(calls[Duration])&lt;60,"30 T0 60 MINS",_xlfn.SINGLE(calls[Duration])&lt;120,"1 TO 2 HRS",TRUE,"ABOVE 2 HRS")</f>
        <v>ABOVE 2 HRS</v>
      </c>
    </row>
    <row r="491" spans="1:14" x14ac:dyDescent="0.3">
      <c r="A491" t="s">
        <v>525</v>
      </c>
      <c r="B491" t="s">
        <v>18</v>
      </c>
      <c r="C491">
        <v>117</v>
      </c>
      <c r="D491" t="s">
        <v>36</v>
      </c>
      <c r="E491" s="1">
        <v>45069</v>
      </c>
      <c r="F491">
        <v>88</v>
      </c>
      <c r="G491">
        <v>4.7</v>
      </c>
      <c r="H491" t="str">
        <f>TEXT(calls[[#This Row],[Date of Call]],"DDDD")</f>
        <v>Tuesday</v>
      </c>
      <c r="I491">
        <f>ROUND(calls[[#This Row],[Satisfaction Rating]],0)</f>
        <v>5</v>
      </c>
      <c r="N491" t="str" cm="1">
        <f t="array" ref="N491">_xlfn.IFS(_xlfn.SINGLE(calls[Duration])&lt;30,"UNDER 30 MINS",_xlfn.SINGLE(calls[Duration])&lt;60,"30 T0 60 MINS",_xlfn.SINGLE(calls[Duration])&lt;120,"1 TO 2 HRS",TRUE,"ABOVE 2 HRS")</f>
        <v>1 TO 2 HRS</v>
      </c>
    </row>
    <row r="492" spans="1:14" x14ac:dyDescent="0.3">
      <c r="A492" t="s">
        <v>526</v>
      </c>
      <c r="B492" t="s">
        <v>37</v>
      </c>
      <c r="C492">
        <v>63</v>
      </c>
      <c r="D492" t="s">
        <v>36</v>
      </c>
      <c r="E492" s="1">
        <v>45069</v>
      </c>
      <c r="F492">
        <v>80</v>
      </c>
      <c r="G492">
        <v>2.5</v>
      </c>
      <c r="H492" t="str">
        <f>TEXT(calls[[#This Row],[Date of Call]],"DDDD")</f>
        <v>Tuesday</v>
      </c>
      <c r="I492">
        <f>ROUND(calls[[#This Row],[Satisfaction Rating]],0)</f>
        <v>3</v>
      </c>
      <c r="N492" t="str" cm="1">
        <f t="array" ref="N492">_xlfn.IFS(_xlfn.SINGLE(calls[Duration])&lt;30,"UNDER 30 MINS",_xlfn.SINGLE(calls[Duration])&lt;60,"30 T0 60 MINS",_xlfn.SINGLE(calls[Duration])&lt;120,"1 TO 2 HRS",TRUE,"ABOVE 2 HRS")</f>
        <v>1 TO 2 HRS</v>
      </c>
    </row>
    <row r="493" spans="1:14" x14ac:dyDescent="0.3">
      <c r="A493" t="s">
        <v>527</v>
      </c>
      <c r="B493" t="s">
        <v>41</v>
      </c>
      <c r="C493">
        <v>59</v>
      </c>
      <c r="D493" t="s">
        <v>13</v>
      </c>
      <c r="E493" s="1">
        <v>45070</v>
      </c>
      <c r="F493">
        <v>123</v>
      </c>
      <c r="G493">
        <v>3.6</v>
      </c>
      <c r="H493" t="str">
        <f>TEXT(calls[[#This Row],[Date of Call]],"DDDD")</f>
        <v>Wednesday</v>
      </c>
      <c r="I493">
        <f>ROUND(calls[[#This Row],[Satisfaction Rating]],0)</f>
        <v>4</v>
      </c>
      <c r="N493" t="str" cm="1">
        <f t="array" ref="N493">_xlfn.IFS(_xlfn.SINGLE(calls[Duration])&lt;30,"UNDER 30 MINS",_xlfn.SINGLE(calls[Duration])&lt;60,"30 T0 60 MINS",_xlfn.SINGLE(calls[Duration])&lt;120,"1 TO 2 HRS",TRUE,"ABOVE 2 HRS")</f>
        <v>30 T0 60 MINS</v>
      </c>
    </row>
    <row r="494" spans="1:14" x14ac:dyDescent="0.3">
      <c r="A494" t="s">
        <v>528</v>
      </c>
      <c r="B494" t="s">
        <v>31</v>
      </c>
      <c r="C494">
        <v>133</v>
      </c>
      <c r="D494" t="s">
        <v>42</v>
      </c>
      <c r="E494" s="1">
        <v>45070</v>
      </c>
      <c r="F494">
        <v>31</v>
      </c>
      <c r="G494">
        <v>3.7</v>
      </c>
      <c r="H494" t="str">
        <f>TEXT(calls[[#This Row],[Date of Call]],"DDDD")</f>
        <v>Wednesday</v>
      </c>
      <c r="I494">
        <f>ROUND(calls[[#This Row],[Satisfaction Rating]],0)</f>
        <v>4</v>
      </c>
      <c r="N494" t="str" cm="1">
        <f t="array" ref="N494">_xlfn.IFS(_xlfn.SINGLE(calls[Duration])&lt;30,"UNDER 30 MINS",_xlfn.SINGLE(calls[Duration])&lt;60,"30 T0 60 MINS",_xlfn.SINGLE(calls[Duration])&lt;120,"1 TO 2 HRS",TRUE,"ABOVE 2 HRS")</f>
        <v>ABOVE 2 HRS</v>
      </c>
    </row>
    <row r="495" spans="1:14" x14ac:dyDescent="0.3">
      <c r="A495" t="s">
        <v>529</v>
      </c>
      <c r="B495" t="s">
        <v>14</v>
      </c>
      <c r="C495">
        <v>101</v>
      </c>
      <c r="D495" t="s">
        <v>23</v>
      </c>
      <c r="E495" s="1">
        <v>45070</v>
      </c>
      <c r="F495">
        <v>205</v>
      </c>
      <c r="G495">
        <v>3.9</v>
      </c>
      <c r="H495" t="str">
        <f>TEXT(calls[[#This Row],[Date of Call]],"DDDD")</f>
        <v>Wednesday</v>
      </c>
      <c r="I495">
        <f>ROUND(calls[[#This Row],[Satisfaction Rating]],0)</f>
        <v>4</v>
      </c>
      <c r="N495" t="str" cm="1">
        <f t="array" ref="N495">_xlfn.IFS(_xlfn.SINGLE(calls[Duration])&lt;30,"UNDER 30 MINS",_xlfn.SINGLE(calls[Duration])&lt;60,"30 T0 60 MINS",_xlfn.SINGLE(calls[Duration])&lt;120,"1 TO 2 HRS",TRUE,"ABOVE 2 HRS")</f>
        <v>1 TO 2 HRS</v>
      </c>
    </row>
    <row r="496" spans="1:14" x14ac:dyDescent="0.3">
      <c r="A496" t="s">
        <v>530</v>
      </c>
      <c r="B496" t="s">
        <v>45</v>
      </c>
      <c r="C496">
        <v>151</v>
      </c>
      <c r="D496" t="s">
        <v>36</v>
      </c>
      <c r="E496" s="1">
        <v>45071</v>
      </c>
      <c r="F496">
        <v>123</v>
      </c>
      <c r="G496">
        <v>3.7</v>
      </c>
      <c r="H496" t="str">
        <f>TEXT(calls[[#This Row],[Date of Call]],"DDDD")</f>
        <v>Thursday</v>
      </c>
      <c r="I496">
        <f>ROUND(calls[[#This Row],[Satisfaction Rating]],0)</f>
        <v>4</v>
      </c>
      <c r="N496" t="str" cm="1">
        <f t="array" ref="N496">_xlfn.IFS(_xlfn.SINGLE(calls[Duration])&lt;30,"UNDER 30 MINS",_xlfn.SINGLE(calls[Duration])&lt;60,"30 T0 60 MINS",_xlfn.SINGLE(calls[Duration])&lt;120,"1 TO 2 HRS",TRUE,"ABOVE 2 HRS")</f>
        <v>ABOVE 2 HRS</v>
      </c>
    </row>
    <row r="497" spans="1:14" x14ac:dyDescent="0.3">
      <c r="A497" t="s">
        <v>531</v>
      </c>
      <c r="B497" t="s">
        <v>28</v>
      </c>
      <c r="C497">
        <v>146</v>
      </c>
      <c r="D497" t="s">
        <v>42</v>
      </c>
      <c r="E497" s="1">
        <v>45071</v>
      </c>
      <c r="F497">
        <v>123</v>
      </c>
      <c r="G497">
        <v>4.3</v>
      </c>
      <c r="H497" t="str">
        <f>TEXT(calls[[#This Row],[Date of Call]],"DDDD")</f>
        <v>Thursday</v>
      </c>
      <c r="I497">
        <f>ROUND(calls[[#This Row],[Satisfaction Rating]],0)</f>
        <v>4</v>
      </c>
      <c r="N497" t="str" cm="1">
        <f t="array" ref="N497">_xlfn.IFS(_xlfn.SINGLE(calls[Duration])&lt;30,"UNDER 30 MINS",_xlfn.SINGLE(calls[Duration])&lt;60,"30 T0 60 MINS",_xlfn.SINGLE(calls[Duration])&lt;120,"1 TO 2 HRS",TRUE,"ABOVE 2 HRS")</f>
        <v>ABOVE 2 HRS</v>
      </c>
    </row>
    <row r="498" spans="1:14" x14ac:dyDescent="0.3">
      <c r="A498" t="s">
        <v>532</v>
      </c>
      <c r="B498" t="s">
        <v>37</v>
      </c>
      <c r="C498">
        <v>148</v>
      </c>
      <c r="D498" t="s">
        <v>42</v>
      </c>
      <c r="E498" s="1">
        <v>45071</v>
      </c>
      <c r="F498">
        <v>36</v>
      </c>
      <c r="G498">
        <v>2.9</v>
      </c>
      <c r="H498" t="str">
        <f>TEXT(calls[[#This Row],[Date of Call]],"DDDD")</f>
        <v>Thursday</v>
      </c>
      <c r="I498">
        <f>ROUND(calls[[#This Row],[Satisfaction Rating]],0)</f>
        <v>3</v>
      </c>
      <c r="N498" t="str" cm="1">
        <f t="array" ref="N498">_xlfn.IFS(_xlfn.SINGLE(calls[Duration])&lt;30,"UNDER 30 MINS",_xlfn.SINGLE(calls[Duration])&lt;60,"30 T0 60 MINS",_xlfn.SINGLE(calls[Duration])&lt;120,"1 TO 2 HRS",TRUE,"ABOVE 2 HRS")</f>
        <v>ABOVE 2 HRS</v>
      </c>
    </row>
    <row r="499" spans="1:14" x14ac:dyDescent="0.3">
      <c r="A499" t="s">
        <v>533</v>
      </c>
      <c r="B499" t="s">
        <v>45</v>
      </c>
      <c r="C499">
        <v>81</v>
      </c>
      <c r="D499" t="s">
        <v>42</v>
      </c>
      <c r="E499" s="1">
        <v>45071</v>
      </c>
      <c r="F499">
        <v>116</v>
      </c>
      <c r="G499">
        <v>4.3</v>
      </c>
      <c r="H499" t="str">
        <f>TEXT(calls[[#This Row],[Date of Call]],"DDDD")</f>
        <v>Thursday</v>
      </c>
      <c r="I499">
        <f>ROUND(calls[[#This Row],[Satisfaction Rating]],0)</f>
        <v>4</v>
      </c>
      <c r="N499" t="str" cm="1">
        <f t="array" ref="N499">_xlfn.IFS(_xlfn.SINGLE(calls[Duration])&lt;30,"UNDER 30 MINS",_xlfn.SINGLE(calls[Duration])&lt;60,"30 T0 60 MINS",_xlfn.SINGLE(calls[Duration])&lt;120,"1 TO 2 HRS",TRUE,"ABOVE 2 HRS")</f>
        <v>1 TO 2 HRS</v>
      </c>
    </row>
    <row r="500" spans="1:14" x14ac:dyDescent="0.3">
      <c r="A500" t="s">
        <v>534</v>
      </c>
      <c r="B500" t="s">
        <v>39</v>
      </c>
      <c r="C500">
        <v>115</v>
      </c>
      <c r="D500" t="s">
        <v>42</v>
      </c>
      <c r="E500" s="1">
        <v>45071</v>
      </c>
      <c r="F500">
        <v>40</v>
      </c>
      <c r="G500">
        <v>4.9000000000000004</v>
      </c>
      <c r="H500" t="str">
        <f>TEXT(calls[[#This Row],[Date of Call]],"DDDD")</f>
        <v>Thursday</v>
      </c>
      <c r="I500">
        <f>ROUND(calls[[#This Row],[Satisfaction Rating]],0)</f>
        <v>5</v>
      </c>
      <c r="N500" t="str" cm="1">
        <f t="array" ref="N500">_xlfn.IFS(_xlfn.SINGLE(calls[Duration])&lt;30,"UNDER 30 MINS",_xlfn.SINGLE(calls[Duration])&lt;60,"30 T0 60 MINS",_xlfn.SINGLE(calls[Duration])&lt;120,"1 TO 2 HRS",TRUE,"ABOVE 2 HRS")</f>
        <v>1 TO 2 HRS</v>
      </c>
    </row>
    <row r="501" spans="1:14" x14ac:dyDescent="0.3">
      <c r="A501" t="s">
        <v>535</v>
      </c>
      <c r="B501" t="s">
        <v>39</v>
      </c>
      <c r="C501">
        <v>117</v>
      </c>
      <c r="D501" t="s">
        <v>36</v>
      </c>
      <c r="E501" s="1">
        <v>45071</v>
      </c>
      <c r="F501">
        <v>40</v>
      </c>
      <c r="G501">
        <v>4</v>
      </c>
      <c r="H501" t="str">
        <f>TEXT(calls[[#This Row],[Date of Call]],"DDDD")</f>
        <v>Thursday</v>
      </c>
      <c r="I501">
        <f>ROUND(calls[[#This Row],[Satisfaction Rating]],0)</f>
        <v>4</v>
      </c>
      <c r="N501" t="str" cm="1">
        <f t="array" ref="N501">_xlfn.IFS(_xlfn.SINGLE(calls[Duration])&lt;30,"UNDER 30 MINS",_xlfn.SINGLE(calls[Duration])&lt;60,"30 T0 60 MINS",_xlfn.SINGLE(calls[Duration])&lt;120,"1 TO 2 HRS",TRUE,"ABOVE 2 HRS")</f>
        <v>1 TO 2 HRS</v>
      </c>
    </row>
    <row r="502" spans="1:14" x14ac:dyDescent="0.3">
      <c r="A502" t="s">
        <v>536</v>
      </c>
      <c r="B502" t="s">
        <v>14</v>
      </c>
      <c r="C502">
        <v>110</v>
      </c>
      <c r="D502" t="s">
        <v>29</v>
      </c>
      <c r="E502" s="1">
        <v>45072</v>
      </c>
      <c r="F502">
        <v>82</v>
      </c>
      <c r="G502">
        <v>4</v>
      </c>
      <c r="H502" t="str">
        <f>TEXT(calls[[#This Row],[Date of Call]],"DDDD")</f>
        <v>Friday</v>
      </c>
      <c r="I502">
        <f>ROUND(calls[[#This Row],[Satisfaction Rating]],0)</f>
        <v>4</v>
      </c>
      <c r="N502" t="str" cm="1">
        <f t="array" ref="N502">_xlfn.IFS(_xlfn.SINGLE(calls[Duration])&lt;30,"UNDER 30 MINS",_xlfn.SINGLE(calls[Duration])&lt;60,"30 T0 60 MINS",_xlfn.SINGLE(calls[Duration])&lt;120,"1 TO 2 HRS",TRUE,"ABOVE 2 HRS")</f>
        <v>1 TO 2 HRS</v>
      </c>
    </row>
    <row r="503" spans="1:14" x14ac:dyDescent="0.3">
      <c r="A503" t="s">
        <v>537</v>
      </c>
      <c r="B503" t="s">
        <v>19</v>
      </c>
      <c r="C503">
        <v>103</v>
      </c>
      <c r="D503" t="s">
        <v>13</v>
      </c>
      <c r="E503" s="1">
        <v>45072</v>
      </c>
      <c r="F503">
        <v>62</v>
      </c>
      <c r="G503">
        <v>3.4</v>
      </c>
      <c r="H503" t="str">
        <f>TEXT(calls[[#This Row],[Date of Call]],"DDDD")</f>
        <v>Friday</v>
      </c>
      <c r="I503">
        <f>ROUND(calls[[#This Row],[Satisfaction Rating]],0)</f>
        <v>3</v>
      </c>
      <c r="N503" t="str" cm="1">
        <f t="array" ref="N503">_xlfn.IFS(_xlfn.SINGLE(calls[Duration])&lt;30,"UNDER 30 MINS",_xlfn.SINGLE(calls[Duration])&lt;60,"30 T0 60 MINS",_xlfn.SINGLE(calls[Duration])&lt;120,"1 TO 2 HRS",TRUE,"ABOVE 2 HRS")</f>
        <v>1 TO 2 HRS</v>
      </c>
    </row>
    <row r="504" spans="1:14" x14ac:dyDescent="0.3">
      <c r="A504" t="s">
        <v>538</v>
      </c>
      <c r="B504" t="s">
        <v>26</v>
      </c>
      <c r="C504">
        <v>45</v>
      </c>
      <c r="D504" t="s">
        <v>13</v>
      </c>
      <c r="E504" s="1">
        <v>45072</v>
      </c>
      <c r="F504">
        <v>135</v>
      </c>
      <c r="G504">
        <v>3.9</v>
      </c>
      <c r="H504" t="str">
        <f>TEXT(calls[[#This Row],[Date of Call]],"DDDD")</f>
        <v>Friday</v>
      </c>
      <c r="I504">
        <f>ROUND(calls[[#This Row],[Satisfaction Rating]],0)</f>
        <v>4</v>
      </c>
      <c r="N504" t="str" cm="1">
        <f t="array" ref="N504">_xlfn.IFS(_xlfn.SINGLE(calls[Duration])&lt;30,"UNDER 30 MINS",_xlfn.SINGLE(calls[Duration])&lt;60,"30 T0 60 MINS",_xlfn.SINGLE(calls[Duration])&lt;120,"1 TO 2 HRS",TRUE,"ABOVE 2 HRS")</f>
        <v>30 T0 60 MINS</v>
      </c>
    </row>
    <row r="505" spans="1:14" x14ac:dyDescent="0.3">
      <c r="A505" t="s">
        <v>539</v>
      </c>
      <c r="B505" t="s">
        <v>14</v>
      </c>
      <c r="C505">
        <v>110</v>
      </c>
      <c r="D505" t="s">
        <v>23</v>
      </c>
      <c r="E505" s="1">
        <v>45072</v>
      </c>
      <c r="F505">
        <v>155</v>
      </c>
      <c r="G505">
        <v>2.1</v>
      </c>
      <c r="H505" t="str">
        <f>TEXT(calls[[#This Row],[Date of Call]],"DDDD")</f>
        <v>Friday</v>
      </c>
      <c r="I505">
        <f>ROUND(calls[[#This Row],[Satisfaction Rating]],0)</f>
        <v>2</v>
      </c>
      <c r="N505" t="str" cm="1">
        <f t="array" ref="N505">_xlfn.IFS(_xlfn.SINGLE(calls[Duration])&lt;30,"UNDER 30 MINS",_xlfn.SINGLE(calls[Duration])&lt;60,"30 T0 60 MINS",_xlfn.SINGLE(calls[Duration])&lt;120,"1 TO 2 HRS",TRUE,"ABOVE 2 HRS")</f>
        <v>1 TO 2 HRS</v>
      </c>
    </row>
    <row r="506" spans="1:14" x14ac:dyDescent="0.3">
      <c r="A506" t="s">
        <v>540</v>
      </c>
      <c r="B506" t="s">
        <v>41</v>
      </c>
      <c r="C506">
        <v>43</v>
      </c>
      <c r="D506" t="s">
        <v>29</v>
      </c>
      <c r="E506" s="1">
        <v>45072</v>
      </c>
      <c r="F506">
        <v>37</v>
      </c>
      <c r="G506">
        <v>4.9000000000000004</v>
      </c>
      <c r="H506" t="str">
        <f>TEXT(calls[[#This Row],[Date of Call]],"DDDD")</f>
        <v>Friday</v>
      </c>
      <c r="I506">
        <f>ROUND(calls[[#This Row],[Satisfaction Rating]],0)</f>
        <v>5</v>
      </c>
      <c r="N506" t="str" cm="1">
        <f t="array" ref="N506">_xlfn.IFS(_xlfn.SINGLE(calls[Duration])&lt;30,"UNDER 30 MINS",_xlfn.SINGLE(calls[Duration])&lt;60,"30 T0 60 MINS",_xlfn.SINGLE(calls[Duration])&lt;120,"1 TO 2 HRS",TRUE,"ABOVE 2 HRS")</f>
        <v>30 T0 60 MINS</v>
      </c>
    </row>
    <row r="507" spans="1:14" x14ac:dyDescent="0.3">
      <c r="A507" t="s">
        <v>541</v>
      </c>
      <c r="B507" t="s">
        <v>14</v>
      </c>
      <c r="C507">
        <v>104</v>
      </c>
      <c r="D507" t="s">
        <v>36</v>
      </c>
      <c r="E507" s="1">
        <v>45073</v>
      </c>
      <c r="F507">
        <v>56</v>
      </c>
      <c r="G507">
        <v>3.4</v>
      </c>
      <c r="H507" t="str">
        <f>TEXT(calls[[#This Row],[Date of Call]],"DDDD")</f>
        <v>Saturday</v>
      </c>
      <c r="I507">
        <f>ROUND(calls[[#This Row],[Satisfaction Rating]],0)</f>
        <v>3</v>
      </c>
      <c r="N507" t="str" cm="1">
        <f t="array" ref="N507">_xlfn.IFS(_xlfn.SINGLE(calls[Duration])&lt;30,"UNDER 30 MINS",_xlfn.SINGLE(calls[Duration])&lt;60,"30 T0 60 MINS",_xlfn.SINGLE(calls[Duration])&lt;120,"1 TO 2 HRS",TRUE,"ABOVE 2 HRS")</f>
        <v>1 TO 2 HRS</v>
      </c>
    </row>
    <row r="508" spans="1:14" x14ac:dyDescent="0.3">
      <c r="A508" t="s">
        <v>542</v>
      </c>
      <c r="B508" t="s">
        <v>14</v>
      </c>
      <c r="C508">
        <v>101</v>
      </c>
      <c r="D508" t="s">
        <v>36</v>
      </c>
      <c r="E508" s="1">
        <v>45073</v>
      </c>
      <c r="F508">
        <v>185</v>
      </c>
      <c r="G508">
        <v>5</v>
      </c>
      <c r="H508" t="str">
        <f>TEXT(calls[[#This Row],[Date of Call]],"DDDD")</f>
        <v>Saturday</v>
      </c>
      <c r="I508">
        <f>ROUND(calls[[#This Row],[Satisfaction Rating]],0)</f>
        <v>5</v>
      </c>
      <c r="N508" t="str" cm="1">
        <f t="array" ref="N508">_xlfn.IFS(_xlfn.SINGLE(calls[Duration])&lt;30,"UNDER 30 MINS",_xlfn.SINGLE(calls[Duration])&lt;60,"30 T0 60 MINS",_xlfn.SINGLE(calls[Duration])&lt;120,"1 TO 2 HRS",TRUE,"ABOVE 2 HRS")</f>
        <v>1 TO 2 HRS</v>
      </c>
    </row>
    <row r="509" spans="1:14" x14ac:dyDescent="0.3">
      <c r="A509" t="s">
        <v>543</v>
      </c>
      <c r="B509" t="s">
        <v>12</v>
      </c>
      <c r="C509">
        <v>55</v>
      </c>
      <c r="D509" t="s">
        <v>29</v>
      </c>
      <c r="E509" s="1">
        <v>45074</v>
      </c>
      <c r="F509">
        <v>145</v>
      </c>
      <c r="G509">
        <v>4.5</v>
      </c>
      <c r="H509" t="str">
        <f>TEXT(calls[[#This Row],[Date of Call]],"DDDD")</f>
        <v>Sunday</v>
      </c>
      <c r="I509">
        <f>ROUND(calls[[#This Row],[Satisfaction Rating]],0)</f>
        <v>5</v>
      </c>
      <c r="N509" t="str" cm="1">
        <f t="array" ref="N509">_xlfn.IFS(_xlfn.SINGLE(calls[Duration])&lt;30,"UNDER 30 MINS",_xlfn.SINGLE(calls[Duration])&lt;60,"30 T0 60 MINS",_xlfn.SINGLE(calls[Duration])&lt;120,"1 TO 2 HRS",TRUE,"ABOVE 2 HRS")</f>
        <v>30 T0 60 MINS</v>
      </c>
    </row>
    <row r="510" spans="1:14" x14ac:dyDescent="0.3">
      <c r="A510" t="s">
        <v>544</v>
      </c>
      <c r="B510" t="s">
        <v>45</v>
      </c>
      <c r="C510">
        <v>40</v>
      </c>
      <c r="D510" t="s">
        <v>13</v>
      </c>
      <c r="E510" s="1">
        <v>45074</v>
      </c>
      <c r="F510">
        <v>116</v>
      </c>
      <c r="G510">
        <v>2.6</v>
      </c>
      <c r="H510" t="str">
        <f>TEXT(calls[[#This Row],[Date of Call]],"DDDD")</f>
        <v>Sunday</v>
      </c>
      <c r="I510">
        <f>ROUND(calls[[#This Row],[Satisfaction Rating]],0)</f>
        <v>3</v>
      </c>
      <c r="N510" t="str" cm="1">
        <f t="array" ref="N510">_xlfn.IFS(_xlfn.SINGLE(calls[Duration])&lt;30,"UNDER 30 MINS",_xlfn.SINGLE(calls[Duration])&lt;60,"30 T0 60 MINS",_xlfn.SINGLE(calls[Duration])&lt;120,"1 TO 2 HRS",TRUE,"ABOVE 2 HRS")</f>
        <v>30 T0 60 MINS</v>
      </c>
    </row>
    <row r="511" spans="1:14" x14ac:dyDescent="0.3">
      <c r="A511" t="s">
        <v>545</v>
      </c>
      <c r="B511" t="s">
        <v>41</v>
      </c>
      <c r="C511">
        <v>122</v>
      </c>
      <c r="D511" t="s">
        <v>42</v>
      </c>
      <c r="E511" s="1">
        <v>45074</v>
      </c>
      <c r="F511">
        <v>45</v>
      </c>
      <c r="G511">
        <v>4.2</v>
      </c>
      <c r="H511" t="str">
        <f>TEXT(calls[[#This Row],[Date of Call]],"DDDD")</f>
        <v>Sunday</v>
      </c>
      <c r="I511">
        <f>ROUND(calls[[#This Row],[Satisfaction Rating]],0)</f>
        <v>4</v>
      </c>
      <c r="N511" t="str" cm="1">
        <f t="array" ref="N511">_xlfn.IFS(_xlfn.SINGLE(calls[Duration])&lt;30,"UNDER 30 MINS",_xlfn.SINGLE(calls[Duration])&lt;60,"30 T0 60 MINS",_xlfn.SINGLE(calls[Duration])&lt;120,"1 TO 2 HRS",TRUE,"ABOVE 2 HRS")</f>
        <v>ABOVE 2 HRS</v>
      </c>
    </row>
    <row r="512" spans="1:14" x14ac:dyDescent="0.3">
      <c r="A512" t="s">
        <v>546</v>
      </c>
      <c r="B512" t="s">
        <v>28</v>
      </c>
      <c r="C512">
        <v>98</v>
      </c>
      <c r="D512" t="s">
        <v>36</v>
      </c>
      <c r="E512" s="1">
        <v>45075</v>
      </c>
      <c r="F512">
        <v>35</v>
      </c>
      <c r="G512">
        <v>4.5</v>
      </c>
      <c r="H512" t="str">
        <f>TEXT(calls[[#This Row],[Date of Call]],"DDDD")</f>
        <v>Monday</v>
      </c>
      <c r="I512">
        <f>ROUND(calls[[#This Row],[Satisfaction Rating]],0)</f>
        <v>5</v>
      </c>
      <c r="N512" t="str" cm="1">
        <f t="array" ref="N512">_xlfn.IFS(_xlfn.SINGLE(calls[Duration])&lt;30,"UNDER 30 MINS",_xlfn.SINGLE(calls[Duration])&lt;60,"30 T0 60 MINS",_xlfn.SINGLE(calls[Duration])&lt;120,"1 TO 2 HRS",TRUE,"ABOVE 2 HRS")</f>
        <v>1 TO 2 HRS</v>
      </c>
    </row>
    <row r="513" spans="1:14" x14ac:dyDescent="0.3">
      <c r="A513" t="s">
        <v>547</v>
      </c>
      <c r="B513" t="s">
        <v>39</v>
      </c>
      <c r="C513">
        <v>110</v>
      </c>
      <c r="D513" t="s">
        <v>13</v>
      </c>
      <c r="E513" s="1">
        <v>45075</v>
      </c>
      <c r="F513">
        <v>100</v>
      </c>
      <c r="G513">
        <v>4.4000000000000004</v>
      </c>
      <c r="H513" t="str">
        <f>TEXT(calls[[#This Row],[Date of Call]],"DDDD")</f>
        <v>Monday</v>
      </c>
      <c r="I513">
        <f>ROUND(calls[[#This Row],[Satisfaction Rating]],0)</f>
        <v>4</v>
      </c>
      <c r="N513" t="str" cm="1">
        <f t="array" ref="N513">_xlfn.IFS(_xlfn.SINGLE(calls[Duration])&lt;30,"UNDER 30 MINS",_xlfn.SINGLE(calls[Duration])&lt;60,"30 T0 60 MINS",_xlfn.SINGLE(calls[Duration])&lt;120,"1 TO 2 HRS",TRUE,"ABOVE 2 HRS")</f>
        <v>1 TO 2 HRS</v>
      </c>
    </row>
    <row r="514" spans="1:14" x14ac:dyDescent="0.3">
      <c r="A514" t="s">
        <v>548</v>
      </c>
      <c r="B514" t="s">
        <v>39</v>
      </c>
      <c r="C514">
        <v>62</v>
      </c>
      <c r="D514" t="s">
        <v>29</v>
      </c>
      <c r="E514" s="1">
        <v>45076</v>
      </c>
      <c r="F514">
        <v>125</v>
      </c>
      <c r="G514">
        <v>3.5</v>
      </c>
      <c r="H514" t="str">
        <f>TEXT(calls[[#This Row],[Date of Call]],"DDDD")</f>
        <v>Tuesday</v>
      </c>
      <c r="I514">
        <f>ROUND(calls[[#This Row],[Satisfaction Rating]],0)</f>
        <v>4</v>
      </c>
      <c r="N514" t="str" cm="1">
        <f t="array" ref="N514">_xlfn.IFS(_xlfn.SINGLE(calls[Duration])&lt;30,"UNDER 30 MINS",_xlfn.SINGLE(calls[Duration])&lt;60,"30 T0 60 MINS",_xlfn.SINGLE(calls[Duration])&lt;120,"1 TO 2 HRS",TRUE,"ABOVE 2 HRS")</f>
        <v>1 TO 2 HRS</v>
      </c>
    </row>
    <row r="515" spans="1:14" x14ac:dyDescent="0.3">
      <c r="A515" t="s">
        <v>549</v>
      </c>
      <c r="B515" t="s">
        <v>41</v>
      </c>
      <c r="C515">
        <v>134</v>
      </c>
      <c r="D515" t="s">
        <v>42</v>
      </c>
      <c r="E515" s="1">
        <v>45076</v>
      </c>
      <c r="F515">
        <v>120</v>
      </c>
      <c r="G515">
        <v>3</v>
      </c>
      <c r="H515" t="str">
        <f>TEXT(calls[[#This Row],[Date of Call]],"DDDD")</f>
        <v>Tuesday</v>
      </c>
      <c r="I515">
        <f>ROUND(calls[[#This Row],[Satisfaction Rating]],0)</f>
        <v>3</v>
      </c>
      <c r="N515" t="str" cm="1">
        <f t="array" ref="N515">_xlfn.IFS(_xlfn.SINGLE(calls[Duration])&lt;30,"UNDER 30 MINS",_xlfn.SINGLE(calls[Duration])&lt;60,"30 T0 60 MINS",_xlfn.SINGLE(calls[Duration])&lt;120,"1 TO 2 HRS",TRUE,"ABOVE 2 HRS")</f>
        <v>ABOVE 2 HRS</v>
      </c>
    </row>
    <row r="516" spans="1:14" x14ac:dyDescent="0.3">
      <c r="A516" t="s">
        <v>550</v>
      </c>
      <c r="B516" t="s">
        <v>50</v>
      </c>
      <c r="C516">
        <v>94</v>
      </c>
      <c r="D516" t="s">
        <v>23</v>
      </c>
      <c r="E516" s="1">
        <v>45076</v>
      </c>
      <c r="F516">
        <v>180</v>
      </c>
      <c r="G516">
        <v>4.7</v>
      </c>
      <c r="H516" t="str">
        <f>TEXT(calls[[#This Row],[Date of Call]],"DDDD")</f>
        <v>Tuesday</v>
      </c>
      <c r="I516">
        <f>ROUND(calls[[#This Row],[Satisfaction Rating]],0)</f>
        <v>5</v>
      </c>
      <c r="N516" t="str" cm="1">
        <f t="array" ref="N516">_xlfn.IFS(_xlfn.SINGLE(calls[Duration])&lt;30,"UNDER 30 MINS",_xlfn.SINGLE(calls[Duration])&lt;60,"30 T0 60 MINS",_xlfn.SINGLE(calls[Duration])&lt;120,"1 TO 2 HRS",TRUE,"ABOVE 2 HRS")</f>
        <v>1 TO 2 HRS</v>
      </c>
    </row>
    <row r="517" spans="1:14" x14ac:dyDescent="0.3">
      <c r="A517" t="s">
        <v>551</v>
      </c>
      <c r="B517" t="s">
        <v>33</v>
      </c>
      <c r="C517">
        <v>63</v>
      </c>
      <c r="D517" t="s">
        <v>13</v>
      </c>
      <c r="E517" s="1">
        <v>45076</v>
      </c>
      <c r="F517">
        <v>44</v>
      </c>
      <c r="G517">
        <v>3</v>
      </c>
      <c r="H517" t="str">
        <f>TEXT(calls[[#This Row],[Date of Call]],"DDDD")</f>
        <v>Tuesday</v>
      </c>
      <c r="I517">
        <f>ROUND(calls[[#This Row],[Satisfaction Rating]],0)</f>
        <v>3</v>
      </c>
      <c r="N517" t="str" cm="1">
        <f t="array" ref="N517">_xlfn.IFS(_xlfn.SINGLE(calls[Duration])&lt;30,"UNDER 30 MINS",_xlfn.SINGLE(calls[Duration])&lt;60,"30 T0 60 MINS",_xlfn.SINGLE(calls[Duration])&lt;120,"1 TO 2 HRS",TRUE,"ABOVE 2 HRS")</f>
        <v>1 TO 2 HRS</v>
      </c>
    </row>
    <row r="518" spans="1:14" x14ac:dyDescent="0.3">
      <c r="A518" t="s">
        <v>552</v>
      </c>
      <c r="B518" t="s">
        <v>31</v>
      </c>
      <c r="C518">
        <v>95</v>
      </c>
      <c r="D518" t="s">
        <v>42</v>
      </c>
      <c r="E518" s="1">
        <v>45076</v>
      </c>
      <c r="F518">
        <v>86</v>
      </c>
      <c r="G518">
        <v>3.6</v>
      </c>
      <c r="H518" t="str">
        <f>TEXT(calls[[#This Row],[Date of Call]],"DDDD")</f>
        <v>Tuesday</v>
      </c>
      <c r="I518">
        <f>ROUND(calls[[#This Row],[Satisfaction Rating]],0)</f>
        <v>4</v>
      </c>
      <c r="N518" t="str" cm="1">
        <f t="array" ref="N518">_xlfn.IFS(_xlfn.SINGLE(calls[Duration])&lt;30,"UNDER 30 MINS",_xlfn.SINGLE(calls[Duration])&lt;60,"30 T0 60 MINS",_xlfn.SINGLE(calls[Duration])&lt;120,"1 TO 2 HRS",TRUE,"ABOVE 2 HRS")</f>
        <v>1 TO 2 HRS</v>
      </c>
    </row>
    <row r="519" spans="1:14" x14ac:dyDescent="0.3">
      <c r="A519" t="s">
        <v>553</v>
      </c>
      <c r="B519" t="s">
        <v>41</v>
      </c>
      <c r="C519">
        <v>106</v>
      </c>
      <c r="D519" t="s">
        <v>42</v>
      </c>
      <c r="E519" s="1">
        <v>45077</v>
      </c>
      <c r="F519">
        <v>120</v>
      </c>
      <c r="G519">
        <v>4.0999999999999996</v>
      </c>
      <c r="H519" t="str">
        <f>TEXT(calls[[#This Row],[Date of Call]],"DDDD")</f>
        <v>Wednesday</v>
      </c>
      <c r="I519">
        <f>ROUND(calls[[#This Row],[Satisfaction Rating]],0)</f>
        <v>4</v>
      </c>
      <c r="N519" t="str" cm="1">
        <f t="array" ref="N519">_xlfn.IFS(_xlfn.SINGLE(calls[Duration])&lt;30,"UNDER 30 MINS",_xlfn.SINGLE(calls[Duration])&lt;60,"30 T0 60 MINS",_xlfn.SINGLE(calls[Duration])&lt;120,"1 TO 2 HRS",TRUE,"ABOVE 2 HRS")</f>
        <v>1 TO 2 HRS</v>
      </c>
    </row>
    <row r="520" spans="1:14" x14ac:dyDescent="0.3">
      <c r="A520" t="s">
        <v>554</v>
      </c>
      <c r="B520" t="s">
        <v>26</v>
      </c>
      <c r="C520">
        <v>94</v>
      </c>
      <c r="D520" t="s">
        <v>23</v>
      </c>
      <c r="E520" s="1">
        <v>45077</v>
      </c>
      <c r="F520">
        <v>100</v>
      </c>
      <c r="G520">
        <v>3.7</v>
      </c>
      <c r="H520" t="str">
        <f>TEXT(calls[[#This Row],[Date of Call]],"DDDD")</f>
        <v>Wednesday</v>
      </c>
      <c r="I520">
        <f>ROUND(calls[[#This Row],[Satisfaction Rating]],0)</f>
        <v>4</v>
      </c>
      <c r="N520" t="str" cm="1">
        <f t="array" ref="N520">_xlfn.IFS(_xlfn.SINGLE(calls[Duration])&lt;30,"UNDER 30 MINS",_xlfn.SINGLE(calls[Duration])&lt;60,"30 T0 60 MINS",_xlfn.SINGLE(calls[Duration])&lt;120,"1 TO 2 HRS",TRUE,"ABOVE 2 HRS")</f>
        <v>1 TO 2 HRS</v>
      </c>
    </row>
    <row r="521" spans="1:14" x14ac:dyDescent="0.3">
      <c r="A521" t="s">
        <v>555</v>
      </c>
      <c r="B521" t="s">
        <v>26</v>
      </c>
      <c r="C521">
        <v>51</v>
      </c>
      <c r="D521" t="s">
        <v>23</v>
      </c>
      <c r="E521" s="1">
        <v>45078</v>
      </c>
      <c r="F521">
        <v>108</v>
      </c>
      <c r="G521">
        <v>4.5</v>
      </c>
      <c r="H521" t="str">
        <f>TEXT(calls[[#This Row],[Date of Call]],"DDDD")</f>
        <v>Thursday</v>
      </c>
      <c r="I521">
        <f>ROUND(calls[[#This Row],[Satisfaction Rating]],0)</f>
        <v>5</v>
      </c>
      <c r="N521" t="str" cm="1">
        <f t="array" ref="N521">_xlfn.IFS(_xlfn.SINGLE(calls[Duration])&lt;30,"UNDER 30 MINS",_xlfn.SINGLE(calls[Duration])&lt;60,"30 T0 60 MINS",_xlfn.SINGLE(calls[Duration])&lt;120,"1 TO 2 HRS",TRUE,"ABOVE 2 HRS")</f>
        <v>30 T0 60 MINS</v>
      </c>
    </row>
    <row r="522" spans="1:14" x14ac:dyDescent="0.3">
      <c r="A522" t="s">
        <v>556</v>
      </c>
      <c r="B522" t="s">
        <v>37</v>
      </c>
      <c r="C522">
        <v>39</v>
      </c>
      <c r="D522" t="s">
        <v>23</v>
      </c>
      <c r="E522" s="1">
        <v>45078</v>
      </c>
      <c r="F522">
        <v>46</v>
      </c>
      <c r="G522">
        <v>4.5999999999999996</v>
      </c>
      <c r="H522" t="str">
        <f>TEXT(calls[[#This Row],[Date of Call]],"DDDD")</f>
        <v>Thursday</v>
      </c>
      <c r="I522">
        <f>ROUND(calls[[#This Row],[Satisfaction Rating]],0)</f>
        <v>5</v>
      </c>
      <c r="N522" t="str" cm="1">
        <f t="array" ref="N522">_xlfn.IFS(_xlfn.SINGLE(calls[Duration])&lt;30,"UNDER 30 MINS",_xlfn.SINGLE(calls[Duration])&lt;60,"30 T0 60 MINS",_xlfn.SINGLE(calls[Duration])&lt;120,"1 TO 2 HRS",TRUE,"ABOVE 2 HRS")</f>
        <v>30 T0 60 MINS</v>
      </c>
    </row>
    <row r="523" spans="1:14" x14ac:dyDescent="0.3">
      <c r="A523" t="s">
        <v>557</v>
      </c>
      <c r="B523" t="s">
        <v>45</v>
      </c>
      <c r="C523">
        <v>111</v>
      </c>
      <c r="D523" t="s">
        <v>42</v>
      </c>
      <c r="E523" s="1">
        <v>45078</v>
      </c>
      <c r="F523">
        <v>210</v>
      </c>
      <c r="G523">
        <v>4.3</v>
      </c>
      <c r="H523" t="str">
        <f>TEXT(calls[[#This Row],[Date of Call]],"DDDD")</f>
        <v>Thursday</v>
      </c>
      <c r="I523">
        <f>ROUND(calls[[#This Row],[Satisfaction Rating]],0)</f>
        <v>4</v>
      </c>
      <c r="N523" t="str" cm="1">
        <f t="array" ref="N523">_xlfn.IFS(_xlfn.SINGLE(calls[Duration])&lt;30,"UNDER 30 MINS",_xlfn.SINGLE(calls[Duration])&lt;60,"30 T0 60 MINS",_xlfn.SINGLE(calls[Duration])&lt;120,"1 TO 2 HRS",TRUE,"ABOVE 2 HRS")</f>
        <v>1 TO 2 HRS</v>
      </c>
    </row>
    <row r="524" spans="1:14" x14ac:dyDescent="0.3">
      <c r="A524" t="s">
        <v>558</v>
      </c>
      <c r="B524" t="s">
        <v>46</v>
      </c>
      <c r="C524">
        <v>141</v>
      </c>
      <c r="D524" t="s">
        <v>29</v>
      </c>
      <c r="E524" s="1">
        <v>45080</v>
      </c>
      <c r="F524">
        <v>54</v>
      </c>
      <c r="G524">
        <v>4.8</v>
      </c>
      <c r="H524" t="str">
        <f>TEXT(calls[[#This Row],[Date of Call]],"DDDD")</f>
        <v>Saturday</v>
      </c>
      <c r="I524">
        <f>ROUND(calls[[#This Row],[Satisfaction Rating]],0)</f>
        <v>5</v>
      </c>
      <c r="N524" t="str" cm="1">
        <f t="array" ref="N524">_xlfn.IFS(_xlfn.SINGLE(calls[Duration])&lt;30,"UNDER 30 MINS",_xlfn.SINGLE(calls[Duration])&lt;60,"30 T0 60 MINS",_xlfn.SINGLE(calls[Duration])&lt;120,"1 TO 2 HRS",TRUE,"ABOVE 2 HRS")</f>
        <v>ABOVE 2 HRS</v>
      </c>
    </row>
    <row r="525" spans="1:14" x14ac:dyDescent="0.3">
      <c r="A525" t="s">
        <v>559</v>
      </c>
      <c r="B525" t="s">
        <v>33</v>
      </c>
      <c r="C525">
        <v>147</v>
      </c>
      <c r="D525" t="s">
        <v>42</v>
      </c>
      <c r="E525" s="1">
        <v>45080</v>
      </c>
      <c r="F525">
        <v>115</v>
      </c>
      <c r="G525">
        <v>4.7</v>
      </c>
      <c r="H525" t="str">
        <f>TEXT(calls[[#This Row],[Date of Call]],"DDDD")</f>
        <v>Saturday</v>
      </c>
      <c r="I525">
        <f>ROUND(calls[[#This Row],[Satisfaction Rating]],0)</f>
        <v>5</v>
      </c>
      <c r="N525" t="str" cm="1">
        <f t="array" ref="N525">_xlfn.IFS(_xlfn.SINGLE(calls[Duration])&lt;30,"UNDER 30 MINS",_xlfn.SINGLE(calls[Duration])&lt;60,"30 T0 60 MINS",_xlfn.SINGLE(calls[Duration])&lt;120,"1 TO 2 HRS",TRUE,"ABOVE 2 HRS")</f>
        <v>ABOVE 2 HRS</v>
      </c>
    </row>
    <row r="526" spans="1:14" x14ac:dyDescent="0.3">
      <c r="A526" t="s">
        <v>560</v>
      </c>
      <c r="B526" t="s">
        <v>50</v>
      </c>
      <c r="C526">
        <v>49</v>
      </c>
      <c r="D526" t="s">
        <v>23</v>
      </c>
      <c r="E526" s="1">
        <v>45081</v>
      </c>
      <c r="F526">
        <v>100</v>
      </c>
      <c r="G526">
        <v>2.2000000000000002</v>
      </c>
      <c r="H526" t="str">
        <f>TEXT(calls[[#This Row],[Date of Call]],"DDDD")</f>
        <v>Sunday</v>
      </c>
      <c r="I526">
        <f>ROUND(calls[[#This Row],[Satisfaction Rating]],0)</f>
        <v>2</v>
      </c>
      <c r="N526" t="str" cm="1">
        <f t="array" ref="N526">_xlfn.IFS(_xlfn.SINGLE(calls[Duration])&lt;30,"UNDER 30 MINS",_xlfn.SINGLE(calls[Duration])&lt;60,"30 T0 60 MINS",_xlfn.SINGLE(calls[Duration])&lt;120,"1 TO 2 HRS",TRUE,"ABOVE 2 HRS")</f>
        <v>30 T0 60 MINS</v>
      </c>
    </row>
    <row r="527" spans="1:14" x14ac:dyDescent="0.3">
      <c r="A527" t="s">
        <v>561</v>
      </c>
      <c r="B527" t="s">
        <v>22</v>
      </c>
      <c r="C527">
        <v>75</v>
      </c>
      <c r="D527" t="s">
        <v>42</v>
      </c>
      <c r="E527" s="1">
        <v>45081</v>
      </c>
      <c r="F527">
        <v>38</v>
      </c>
      <c r="G527">
        <v>4.4000000000000004</v>
      </c>
      <c r="H527" t="str">
        <f>TEXT(calls[[#This Row],[Date of Call]],"DDDD")</f>
        <v>Sunday</v>
      </c>
      <c r="I527">
        <f>ROUND(calls[[#This Row],[Satisfaction Rating]],0)</f>
        <v>4</v>
      </c>
      <c r="N527" t="str" cm="1">
        <f t="array" ref="N527">_xlfn.IFS(_xlfn.SINGLE(calls[Duration])&lt;30,"UNDER 30 MINS",_xlfn.SINGLE(calls[Duration])&lt;60,"30 T0 60 MINS",_xlfn.SINGLE(calls[Duration])&lt;120,"1 TO 2 HRS",TRUE,"ABOVE 2 HRS")</f>
        <v>1 TO 2 HRS</v>
      </c>
    </row>
    <row r="528" spans="1:14" x14ac:dyDescent="0.3">
      <c r="A528" t="s">
        <v>562</v>
      </c>
      <c r="B528" t="s">
        <v>46</v>
      </c>
      <c r="C528">
        <v>48</v>
      </c>
      <c r="D528" t="s">
        <v>29</v>
      </c>
      <c r="E528" s="1">
        <v>45082</v>
      </c>
      <c r="F528">
        <v>120</v>
      </c>
      <c r="G528">
        <v>4.0999999999999996</v>
      </c>
      <c r="H528" t="str">
        <f>TEXT(calls[[#This Row],[Date of Call]],"DDDD")</f>
        <v>Monday</v>
      </c>
      <c r="I528">
        <f>ROUND(calls[[#This Row],[Satisfaction Rating]],0)</f>
        <v>4</v>
      </c>
      <c r="N528" t="str" cm="1">
        <f t="array" ref="N528">_xlfn.IFS(_xlfn.SINGLE(calls[Duration])&lt;30,"UNDER 30 MINS",_xlfn.SINGLE(calls[Duration])&lt;60,"30 T0 60 MINS",_xlfn.SINGLE(calls[Duration])&lt;120,"1 TO 2 HRS",TRUE,"ABOVE 2 HRS")</f>
        <v>30 T0 60 MINS</v>
      </c>
    </row>
    <row r="529" spans="1:14" x14ac:dyDescent="0.3">
      <c r="A529" t="s">
        <v>563</v>
      </c>
      <c r="B529" t="s">
        <v>39</v>
      </c>
      <c r="C529">
        <v>48</v>
      </c>
      <c r="D529" t="s">
        <v>29</v>
      </c>
      <c r="E529" s="1">
        <v>45082</v>
      </c>
      <c r="F529">
        <v>120</v>
      </c>
      <c r="G529">
        <v>4.0999999999999996</v>
      </c>
      <c r="H529" t="str">
        <f>TEXT(calls[[#This Row],[Date of Call]],"DDDD")</f>
        <v>Monday</v>
      </c>
      <c r="I529">
        <f>ROUND(calls[[#This Row],[Satisfaction Rating]],0)</f>
        <v>4</v>
      </c>
      <c r="N529" t="str" cm="1">
        <f t="array" ref="N529">_xlfn.IFS(_xlfn.SINGLE(calls[Duration])&lt;30,"UNDER 30 MINS",_xlfn.SINGLE(calls[Duration])&lt;60,"30 T0 60 MINS",_xlfn.SINGLE(calls[Duration])&lt;120,"1 TO 2 HRS",TRUE,"ABOVE 2 HRS")</f>
        <v>30 T0 60 MINS</v>
      </c>
    </row>
    <row r="530" spans="1:14" x14ac:dyDescent="0.3">
      <c r="A530" t="s">
        <v>564</v>
      </c>
      <c r="B530" t="s">
        <v>18</v>
      </c>
      <c r="C530">
        <v>138</v>
      </c>
      <c r="D530" t="s">
        <v>23</v>
      </c>
      <c r="E530" s="1">
        <v>45082</v>
      </c>
      <c r="F530">
        <v>29</v>
      </c>
      <c r="G530">
        <v>4.4000000000000004</v>
      </c>
      <c r="H530" t="str">
        <f>TEXT(calls[[#This Row],[Date of Call]],"DDDD")</f>
        <v>Monday</v>
      </c>
      <c r="I530">
        <f>ROUND(calls[[#This Row],[Satisfaction Rating]],0)</f>
        <v>4</v>
      </c>
      <c r="N530" t="str" cm="1">
        <f t="array" ref="N530">_xlfn.IFS(_xlfn.SINGLE(calls[Duration])&lt;30,"UNDER 30 MINS",_xlfn.SINGLE(calls[Duration])&lt;60,"30 T0 60 MINS",_xlfn.SINGLE(calls[Duration])&lt;120,"1 TO 2 HRS",TRUE,"ABOVE 2 HRS")</f>
        <v>ABOVE 2 HRS</v>
      </c>
    </row>
    <row r="531" spans="1:14" x14ac:dyDescent="0.3">
      <c r="A531" t="s">
        <v>565</v>
      </c>
      <c r="B531" t="s">
        <v>31</v>
      </c>
      <c r="C531">
        <v>144</v>
      </c>
      <c r="D531" t="s">
        <v>23</v>
      </c>
      <c r="E531" s="1">
        <v>45083</v>
      </c>
      <c r="F531">
        <v>25</v>
      </c>
      <c r="G531">
        <v>3.7</v>
      </c>
      <c r="H531" t="str">
        <f>TEXT(calls[[#This Row],[Date of Call]],"DDDD")</f>
        <v>Tuesday</v>
      </c>
      <c r="I531">
        <f>ROUND(calls[[#This Row],[Satisfaction Rating]],0)</f>
        <v>4</v>
      </c>
      <c r="N531" t="str" cm="1">
        <f t="array" ref="N531">_xlfn.IFS(_xlfn.SINGLE(calls[Duration])&lt;30,"UNDER 30 MINS",_xlfn.SINGLE(calls[Duration])&lt;60,"30 T0 60 MINS",_xlfn.SINGLE(calls[Duration])&lt;120,"1 TO 2 HRS",TRUE,"ABOVE 2 HRS")</f>
        <v>ABOVE 2 HRS</v>
      </c>
    </row>
    <row r="532" spans="1:14" x14ac:dyDescent="0.3">
      <c r="A532" t="s">
        <v>566</v>
      </c>
      <c r="B532" t="s">
        <v>14</v>
      </c>
      <c r="C532">
        <v>119</v>
      </c>
      <c r="D532" t="s">
        <v>42</v>
      </c>
      <c r="E532" s="1">
        <v>45084</v>
      </c>
      <c r="F532">
        <v>116</v>
      </c>
      <c r="G532">
        <v>3.8</v>
      </c>
      <c r="H532" t="str">
        <f>TEXT(calls[[#This Row],[Date of Call]],"DDDD")</f>
        <v>Wednesday</v>
      </c>
      <c r="I532">
        <f>ROUND(calls[[#This Row],[Satisfaction Rating]],0)</f>
        <v>4</v>
      </c>
      <c r="N532" t="str" cm="1">
        <f t="array" ref="N532">_xlfn.IFS(_xlfn.SINGLE(calls[Duration])&lt;30,"UNDER 30 MINS",_xlfn.SINGLE(calls[Duration])&lt;60,"30 T0 60 MINS",_xlfn.SINGLE(calls[Duration])&lt;120,"1 TO 2 HRS",TRUE,"ABOVE 2 HRS")</f>
        <v>1 TO 2 HRS</v>
      </c>
    </row>
    <row r="533" spans="1:14" x14ac:dyDescent="0.3">
      <c r="A533" t="s">
        <v>567</v>
      </c>
      <c r="B533" t="s">
        <v>18</v>
      </c>
      <c r="C533">
        <v>101</v>
      </c>
      <c r="D533" t="s">
        <v>29</v>
      </c>
      <c r="E533" s="1">
        <v>45085</v>
      </c>
      <c r="F533">
        <v>132</v>
      </c>
      <c r="G533">
        <v>4.3</v>
      </c>
      <c r="H533" t="str">
        <f>TEXT(calls[[#This Row],[Date of Call]],"DDDD")</f>
        <v>Thursday</v>
      </c>
      <c r="I533">
        <f>ROUND(calls[[#This Row],[Satisfaction Rating]],0)</f>
        <v>4</v>
      </c>
      <c r="N533" t="str" cm="1">
        <f t="array" ref="N533">_xlfn.IFS(_xlfn.SINGLE(calls[Duration])&lt;30,"UNDER 30 MINS",_xlfn.SINGLE(calls[Duration])&lt;60,"30 T0 60 MINS",_xlfn.SINGLE(calls[Duration])&lt;120,"1 TO 2 HRS",TRUE,"ABOVE 2 HRS")</f>
        <v>1 TO 2 HRS</v>
      </c>
    </row>
    <row r="534" spans="1:14" x14ac:dyDescent="0.3">
      <c r="A534" t="s">
        <v>568</v>
      </c>
      <c r="B534" t="s">
        <v>31</v>
      </c>
      <c r="C534">
        <v>59</v>
      </c>
      <c r="D534" t="s">
        <v>42</v>
      </c>
      <c r="E534" s="1">
        <v>45086</v>
      </c>
      <c r="F534">
        <v>90</v>
      </c>
      <c r="G534">
        <v>3.5</v>
      </c>
      <c r="H534" t="str">
        <f>TEXT(calls[[#This Row],[Date of Call]],"DDDD")</f>
        <v>Friday</v>
      </c>
      <c r="I534">
        <f>ROUND(calls[[#This Row],[Satisfaction Rating]],0)</f>
        <v>4</v>
      </c>
      <c r="N534" t="str" cm="1">
        <f t="array" ref="N534">_xlfn.IFS(_xlfn.SINGLE(calls[Duration])&lt;30,"UNDER 30 MINS",_xlfn.SINGLE(calls[Duration])&lt;60,"30 T0 60 MINS",_xlfn.SINGLE(calls[Duration])&lt;120,"1 TO 2 HRS",TRUE,"ABOVE 2 HRS")</f>
        <v>30 T0 60 MINS</v>
      </c>
    </row>
    <row r="535" spans="1:14" x14ac:dyDescent="0.3">
      <c r="A535" t="s">
        <v>569</v>
      </c>
      <c r="B535" t="s">
        <v>45</v>
      </c>
      <c r="C535">
        <v>125</v>
      </c>
      <c r="D535" t="s">
        <v>13</v>
      </c>
      <c r="E535" s="1">
        <v>45086</v>
      </c>
      <c r="F535">
        <v>87</v>
      </c>
      <c r="G535">
        <v>4.0999999999999996</v>
      </c>
      <c r="H535" t="str">
        <f>TEXT(calls[[#This Row],[Date of Call]],"DDDD")</f>
        <v>Friday</v>
      </c>
      <c r="I535">
        <f>ROUND(calls[[#This Row],[Satisfaction Rating]],0)</f>
        <v>4</v>
      </c>
      <c r="N535" t="str" cm="1">
        <f t="array" ref="N535">_xlfn.IFS(_xlfn.SINGLE(calls[Duration])&lt;30,"UNDER 30 MINS",_xlfn.SINGLE(calls[Duration])&lt;60,"30 T0 60 MINS",_xlfn.SINGLE(calls[Duration])&lt;120,"1 TO 2 HRS",TRUE,"ABOVE 2 HRS")</f>
        <v>ABOVE 2 HRS</v>
      </c>
    </row>
    <row r="536" spans="1:14" x14ac:dyDescent="0.3">
      <c r="A536" t="s">
        <v>570</v>
      </c>
      <c r="B536" t="s">
        <v>41</v>
      </c>
      <c r="C536">
        <v>147</v>
      </c>
      <c r="D536" t="s">
        <v>42</v>
      </c>
      <c r="E536" s="1">
        <v>45086</v>
      </c>
      <c r="F536">
        <v>140</v>
      </c>
      <c r="G536">
        <v>4.2</v>
      </c>
      <c r="H536" t="str">
        <f>TEXT(calls[[#This Row],[Date of Call]],"DDDD")</f>
        <v>Friday</v>
      </c>
      <c r="I536">
        <f>ROUND(calls[[#This Row],[Satisfaction Rating]],0)</f>
        <v>4</v>
      </c>
      <c r="N536" t="str" cm="1">
        <f t="array" ref="N536">_xlfn.IFS(_xlfn.SINGLE(calls[Duration])&lt;30,"UNDER 30 MINS",_xlfn.SINGLE(calls[Duration])&lt;60,"30 T0 60 MINS",_xlfn.SINGLE(calls[Duration])&lt;120,"1 TO 2 HRS",TRUE,"ABOVE 2 HRS")</f>
        <v>ABOVE 2 HRS</v>
      </c>
    </row>
    <row r="537" spans="1:14" x14ac:dyDescent="0.3">
      <c r="A537" t="s">
        <v>571</v>
      </c>
      <c r="B537" t="s">
        <v>19</v>
      </c>
      <c r="C537">
        <v>76</v>
      </c>
      <c r="D537" t="s">
        <v>42</v>
      </c>
      <c r="E537" s="1">
        <v>45086</v>
      </c>
      <c r="F537">
        <v>164</v>
      </c>
      <c r="G537">
        <v>4.5</v>
      </c>
      <c r="H537" t="str">
        <f>TEXT(calls[[#This Row],[Date of Call]],"DDDD")</f>
        <v>Friday</v>
      </c>
      <c r="I537">
        <f>ROUND(calls[[#This Row],[Satisfaction Rating]],0)</f>
        <v>5</v>
      </c>
      <c r="N537" t="str" cm="1">
        <f t="array" ref="N537">_xlfn.IFS(_xlfn.SINGLE(calls[Duration])&lt;30,"UNDER 30 MINS",_xlfn.SINGLE(calls[Duration])&lt;60,"30 T0 60 MINS",_xlfn.SINGLE(calls[Duration])&lt;120,"1 TO 2 HRS",TRUE,"ABOVE 2 HRS")</f>
        <v>1 TO 2 HRS</v>
      </c>
    </row>
    <row r="538" spans="1:14" x14ac:dyDescent="0.3">
      <c r="A538" t="s">
        <v>572</v>
      </c>
      <c r="B538" t="s">
        <v>33</v>
      </c>
      <c r="C538">
        <v>99</v>
      </c>
      <c r="D538" t="s">
        <v>29</v>
      </c>
      <c r="E538" s="1">
        <v>45087</v>
      </c>
      <c r="F538">
        <v>180</v>
      </c>
      <c r="G538">
        <v>3.8</v>
      </c>
      <c r="H538" t="str">
        <f>TEXT(calls[[#This Row],[Date of Call]],"DDDD")</f>
        <v>Saturday</v>
      </c>
      <c r="I538">
        <f>ROUND(calls[[#This Row],[Satisfaction Rating]],0)</f>
        <v>4</v>
      </c>
      <c r="N538" t="str" cm="1">
        <f t="array" ref="N538">_xlfn.IFS(_xlfn.SINGLE(calls[Duration])&lt;30,"UNDER 30 MINS",_xlfn.SINGLE(calls[Duration])&lt;60,"30 T0 60 MINS",_xlfn.SINGLE(calls[Duration])&lt;120,"1 TO 2 HRS",TRUE,"ABOVE 2 HRS")</f>
        <v>1 TO 2 HRS</v>
      </c>
    </row>
    <row r="539" spans="1:14" x14ac:dyDescent="0.3">
      <c r="A539" t="s">
        <v>573</v>
      </c>
      <c r="B539" t="s">
        <v>37</v>
      </c>
      <c r="C539">
        <v>111</v>
      </c>
      <c r="D539" t="s">
        <v>36</v>
      </c>
      <c r="E539" s="1">
        <v>45088</v>
      </c>
      <c r="F539">
        <v>22</v>
      </c>
      <c r="G539">
        <v>4.0999999999999996</v>
      </c>
      <c r="H539" t="str">
        <f>TEXT(calls[[#This Row],[Date of Call]],"DDDD")</f>
        <v>Sunday</v>
      </c>
      <c r="I539">
        <f>ROUND(calls[[#This Row],[Satisfaction Rating]],0)</f>
        <v>4</v>
      </c>
      <c r="N539" t="str" cm="1">
        <f t="array" ref="N539">_xlfn.IFS(_xlfn.SINGLE(calls[Duration])&lt;30,"UNDER 30 MINS",_xlfn.SINGLE(calls[Duration])&lt;60,"30 T0 60 MINS",_xlfn.SINGLE(calls[Duration])&lt;120,"1 TO 2 HRS",TRUE,"ABOVE 2 HRS")</f>
        <v>1 TO 2 HRS</v>
      </c>
    </row>
    <row r="540" spans="1:14" x14ac:dyDescent="0.3">
      <c r="A540" t="s">
        <v>574</v>
      </c>
      <c r="B540" t="s">
        <v>28</v>
      </c>
      <c r="C540">
        <v>147</v>
      </c>
      <c r="D540" t="s">
        <v>13</v>
      </c>
      <c r="E540" s="1">
        <v>45088</v>
      </c>
      <c r="F540">
        <v>82</v>
      </c>
      <c r="G540">
        <v>4.4000000000000004</v>
      </c>
      <c r="H540" t="str">
        <f>TEXT(calls[[#This Row],[Date of Call]],"DDDD")</f>
        <v>Sunday</v>
      </c>
      <c r="I540">
        <f>ROUND(calls[[#This Row],[Satisfaction Rating]],0)</f>
        <v>4</v>
      </c>
      <c r="N540" t="str" cm="1">
        <f t="array" ref="N540">_xlfn.IFS(_xlfn.SINGLE(calls[Duration])&lt;30,"UNDER 30 MINS",_xlfn.SINGLE(calls[Duration])&lt;60,"30 T0 60 MINS",_xlfn.SINGLE(calls[Duration])&lt;120,"1 TO 2 HRS",TRUE,"ABOVE 2 HRS")</f>
        <v>ABOVE 2 HRS</v>
      </c>
    </row>
    <row r="541" spans="1:14" x14ac:dyDescent="0.3">
      <c r="A541" t="s">
        <v>575</v>
      </c>
      <c r="B541" t="s">
        <v>12</v>
      </c>
      <c r="C541">
        <v>141</v>
      </c>
      <c r="D541" t="s">
        <v>29</v>
      </c>
      <c r="E541" s="1">
        <v>45088</v>
      </c>
      <c r="F541">
        <v>100</v>
      </c>
      <c r="G541">
        <v>4.5999999999999996</v>
      </c>
      <c r="H541" t="str">
        <f>TEXT(calls[[#This Row],[Date of Call]],"DDDD")</f>
        <v>Sunday</v>
      </c>
      <c r="I541">
        <f>ROUND(calls[[#This Row],[Satisfaction Rating]],0)</f>
        <v>5</v>
      </c>
      <c r="N541" t="str" cm="1">
        <f t="array" ref="N541">_xlfn.IFS(_xlfn.SINGLE(calls[Duration])&lt;30,"UNDER 30 MINS",_xlfn.SINGLE(calls[Duration])&lt;60,"30 T0 60 MINS",_xlfn.SINGLE(calls[Duration])&lt;120,"1 TO 2 HRS",TRUE,"ABOVE 2 HRS")</f>
        <v>ABOVE 2 HRS</v>
      </c>
    </row>
    <row r="542" spans="1:14" x14ac:dyDescent="0.3">
      <c r="A542" t="s">
        <v>576</v>
      </c>
      <c r="B542" t="s">
        <v>19</v>
      </c>
      <c r="C542">
        <v>71</v>
      </c>
      <c r="D542" t="s">
        <v>42</v>
      </c>
      <c r="E542" s="1">
        <v>45089</v>
      </c>
      <c r="F542">
        <v>52</v>
      </c>
      <c r="G542">
        <v>3.4</v>
      </c>
      <c r="H542" t="str">
        <f>TEXT(calls[[#This Row],[Date of Call]],"DDDD")</f>
        <v>Monday</v>
      </c>
      <c r="I542">
        <f>ROUND(calls[[#This Row],[Satisfaction Rating]],0)</f>
        <v>3</v>
      </c>
      <c r="N542" t="str" cm="1">
        <f t="array" ref="N542">_xlfn.IFS(_xlfn.SINGLE(calls[Duration])&lt;30,"UNDER 30 MINS",_xlfn.SINGLE(calls[Duration])&lt;60,"30 T0 60 MINS",_xlfn.SINGLE(calls[Duration])&lt;120,"1 TO 2 HRS",TRUE,"ABOVE 2 HRS")</f>
        <v>1 TO 2 HRS</v>
      </c>
    </row>
    <row r="543" spans="1:14" x14ac:dyDescent="0.3">
      <c r="A543" t="s">
        <v>577</v>
      </c>
      <c r="B543" t="s">
        <v>19</v>
      </c>
      <c r="C543">
        <v>121</v>
      </c>
      <c r="D543" t="s">
        <v>13</v>
      </c>
      <c r="E543" s="1">
        <v>45090</v>
      </c>
      <c r="F543">
        <v>84</v>
      </c>
      <c r="G543">
        <v>4.5999999999999996</v>
      </c>
      <c r="H543" t="str">
        <f>TEXT(calls[[#This Row],[Date of Call]],"DDDD")</f>
        <v>Tuesday</v>
      </c>
      <c r="I543">
        <f>ROUND(calls[[#This Row],[Satisfaction Rating]],0)</f>
        <v>5</v>
      </c>
      <c r="N543" t="str" cm="1">
        <f t="array" ref="N543">_xlfn.IFS(_xlfn.SINGLE(calls[Duration])&lt;30,"UNDER 30 MINS",_xlfn.SINGLE(calls[Duration])&lt;60,"30 T0 60 MINS",_xlfn.SINGLE(calls[Duration])&lt;120,"1 TO 2 HRS",TRUE,"ABOVE 2 HRS")</f>
        <v>ABOVE 2 HRS</v>
      </c>
    </row>
    <row r="544" spans="1:14" x14ac:dyDescent="0.3">
      <c r="A544" t="s">
        <v>578</v>
      </c>
      <c r="B544" t="s">
        <v>19</v>
      </c>
      <c r="C544">
        <v>60</v>
      </c>
      <c r="D544" t="s">
        <v>13</v>
      </c>
      <c r="E544" s="1">
        <v>45090</v>
      </c>
      <c r="F544">
        <v>37</v>
      </c>
      <c r="G544">
        <v>3.9</v>
      </c>
      <c r="H544" t="str">
        <f>TEXT(calls[[#This Row],[Date of Call]],"DDDD")</f>
        <v>Tuesday</v>
      </c>
      <c r="I544">
        <f>ROUND(calls[[#This Row],[Satisfaction Rating]],0)</f>
        <v>4</v>
      </c>
      <c r="N544" t="str" cm="1">
        <f t="array" ref="N544">_xlfn.IFS(_xlfn.SINGLE(calls[Duration])&lt;30,"UNDER 30 MINS",_xlfn.SINGLE(calls[Duration])&lt;60,"30 T0 60 MINS",_xlfn.SINGLE(calls[Duration])&lt;120,"1 TO 2 HRS",TRUE,"ABOVE 2 HRS")</f>
        <v>1 TO 2 HRS</v>
      </c>
    </row>
    <row r="545" spans="1:14" x14ac:dyDescent="0.3">
      <c r="A545" t="s">
        <v>579</v>
      </c>
      <c r="B545" t="s">
        <v>50</v>
      </c>
      <c r="C545">
        <v>158</v>
      </c>
      <c r="D545" t="s">
        <v>29</v>
      </c>
      <c r="E545" s="1">
        <v>45091</v>
      </c>
      <c r="F545">
        <v>190</v>
      </c>
      <c r="G545">
        <v>4</v>
      </c>
      <c r="H545" t="str">
        <f>TEXT(calls[[#This Row],[Date of Call]],"DDDD")</f>
        <v>Wednesday</v>
      </c>
      <c r="I545">
        <f>ROUND(calls[[#This Row],[Satisfaction Rating]],0)</f>
        <v>4</v>
      </c>
      <c r="N545" t="str" cm="1">
        <f t="array" ref="N545">_xlfn.IFS(_xlfn.SINGLE(calls[Duration])&lt;30,"UNDER 30 MINS",_xlfn.SINGLE(calls[Duration])&lt;60,"30 T0 60 MINS",_xlfn.SINGLE(calls[Duration])&lt;120,"1 TO 2 HRS",TRUE,"ABOVE 2 HRS")</f>
        <v>ABOVE 2 HRS</v>
      </c>
    </row>
    <row r="546" spans="1:14" x14ac:dyDescent="0.3">
      <c r="A546" t="s">
        <v>580</v>
      </c>
      <c r="B546" t="s">
        <v>41</v>
      </c>
      <c r="C546">
        <v>159</v>
      </c>
      <c r="D546" t="s">
        <v>23</v>
      </c>
      <c r="E546" s="1">
        <v>45091</v>
      </c>
      <c r="F546">
        <v>66</v>
      </c>
      <c r="G546">
        <v>3.4</v>
      </c>
      <c r="H546" t="str">
        <f>TEXT(calls[[#This Row],[Date of Call]],"DDDD")</f>
        <v>Wednesday</v>
      </c>
      <c r="I546">
        <f>ROUND(calls[[#This Row],[Satisfaction Rating]],0)</f>
        <v>3</v>
      </c>
      <c r="N546" t="str" cm="1">
        <f t="array" ref="N546">_xlfn.IFS(_xlfn.SINGLE(calls[Duration])&lt;30,"UNDER 30 MINS",_xlfn.SINGLE(calls[Duration])&lt;60,"30 T0 60 MINS",_xlfn.SINGLE(calls[Duration])&lt;120,"1 TO 2 HRS",TRUE,"ABOVE 2 HRS")</f>
        <v>ABOVE 2 HRS</v>
      </c>
    </row>
    <row r="547" spans="1:14" x14ac:dyDescent="0.3">
      <c r="A547" t="s">
        <v>581</v>
      </c>
      <c r="B547" t="s">
        <v>18</v>
      </c>
      <c r="C547">
        <v>70</v>
      </c>
      <c r="D547" t="s">
        <v>42</v>
      </c>
      <c r="E547" s="1">
        <v>45092</v>
      </c>
      <c r="F547">
        <v>116</v>
      </c>
      <c r="G547">
        <v>3.2</v>
      </c>
      <c r="H547" t="str">
        <f>TEXT(calls[[#This Row],[Date of Call]],"DDDD")</f>
        <v>Thursday</v>
      </c>
      <c r="I547">
        <f>ROUND(calls[[#This Row],[Satisfaction Rating]],0)</f>
        <v>3</v>
      </c>
      <c r="N547" t="str" cm="1">
        <f t="array" ref="N547">_xlfn.IFS(_xlfn.SINGLE(calls[Duration])&lt;30,"UNDER 30 MINS",_xlfn.SINGLE(calls[Duration])&lt;60,"30 T0 60 MINS",_xlfn.SINGLE(calls[Duration])&lt;120,"1 TO 2 HRS",TRUE,"ABOVE 2 HRS")</f>
        <v>1 TO 2 HRS</v>
      </c>
    </row>
    <row r="548" spans="1:14" x14ac:dyDescent="0.3">
      <c r="A548" t="s">
        <v>582</v>
      </c>
      <c r="B548" t="s">
        <v>46</v>
      </c>
      <c r="C548">
        <v>78</v>
      </c>
      <c r="D548" t="s">
        <v>36</v>
      </c>
      <c r="E548" s="1">
        <v>45092</v>
      </c>
      <c r="F548">
        <v>28</v>
      </c>
      <c r="G548">
        <v>3.9</v>
      </c>
      <c r="H548" t="str">
        <f>TEXT(calls[[#This Row],[Date of Call]],"DDDD")</f>
        <v>Thursday</v>
      </c>
      <c r="I548">
        <f>ROUND(calls[[#This Row],[Satisfaction Rating]],0)</f>
        <v>4</v>
      </c>
      <c r="N548" t="str" cm="1">
        <f t="array" ref="N548">_xlfn.IFS(_xlfn.SINGLE(calls[Duration])&lt;30,"UNDER 30 MINS",_xlfn.SINGLE(calls[Duration])&lt;60,"30 T0 60 MINS",_xlfn.SINGLE(calls[Duration])&lt;120,"1 TO 2 HRS",TRUE,"ABOVE 2 HRS")</f>
        <v>1 TO 2 HRS</v>
      </c>
    </row>
    <row r="549" spans="1:14" x14ac:dyDescent="0.3">
      <c r="A549" t="s">
        <v>583</v>
      </c>
      <c r="B549" t="s">
        <v>28</v>
      </c>
      <c r="C549">
        <v>103</v>
      </c>
      <c r="D549" t="s">
        <v>42</v>
      </c>
      <c r="E549" s="1">
        <v>45092</v>
      </c>
      <c r="F549">
        <v>120</v>
      </c>
      <c r="G549">
        <v>5</v>
      </c>
      <c r="H549" t="str">
        <f>TEXT(calls[[#This Row],[Date of Call]],"DDDD")</f>
        <v>Thursday</v>
      </c>
      <c r="I549">
        <f>ROUND(calls[[#This Row],[Satisfaction Rating]],0)</f>
        <v>5</v>
      </c>
      <c r="N549" t="str" cm="1">
        <f t="array" ref="N549">_xlfn.IFS(_xlfn.SINGLE(calls[Duration])&lt;30,"UNDER 30 MINS",_xlfn.SINGLE(calls[Duration])&lt;60,"30 T0 60 MINS",_xlfn.SINGLE(calls[Duration])&lt;120,"1 TO 2 HRS",TRUE,"ABOVE 2 HRS")</f>
        <v>1 TO 2 HRS</v>
      </c>
    </row>
    <row r="550" spans="1:14" x14ac:dyDescent="0.3">
      <c r="A550" t="s">
        <v>584</v>
      </c>
      <c r="B550" t="s">
        <v>22</v>
      </c>
      <c r="C550">
        <v>108</v>
      </c>
      <c r="D550" t="s">
        <v>29</v>
      </c>
      <c r="E550" s="1">
        <v>45092</v>
      </c>
      <c r="F550">
        <v>56</v>
      </c>
      <c r="G550">
        <v>3.5</v>
      </c>
      <c r="H550" t="str">
        <f>TEXT(calls[[#This Row],[Date of Call]],"DDDD")</f>
        <v>Thursday</v>
      </c>
      <c r="I550">
        <f>ROUND(calls[[#This Row],[Satisfaction Rating]],0)</f>
        <v>4</v>
      </c>
      <c r="N550" t="str" cm="1">
        <f t="array" ref="N550">_xlfn.IFS(_xlfn.SINGLE(calls[Duration])&lt;30,"UNDER 30 MINS",_xlfn.SINGLE(calls[Duration])&lt;60,"30 T0 60 MINS",_xlfn.SINGLE(calls[Duration])&lt;120,"1 TO 2 HRS",TRUE,"ABOVE 2 HRS")</f>
        <v>1 TO 2 HRS</v>
      </c>
    </row>
    <row r="551" spans="1:14" x14ac:dyDescent="0.3">
      <c r="A551" t="s">
        <v>585</v>
      </c>
      <c r="B551" t="s">
        <v>22</v>
      </c>
      <c r="C551">
        <v>44</v>
      </c>
      <c r="D551" t="s">
        <v>13</v>
      </c>
      <c r="E551" s="1">
        <v>45092</v>
      </c>
      <c r="F551">
        <v>170</v>
      </c>
      <c r="G551">
        <v>3.8</v>
      </c>
      <c r="H551" t="str">
        <f>TEXT(calls[[#This Row],[Date of Call]],"DDDD")</f>
        <v>Thursday</v>
      </c>
      <c r="I551">
        <f>ROUND(calls[[#This Row],[Satisfaction Rating]],0)</f>
        <v>4</v>
      </c>
      <c r="N551" t="str" cm="1">
        <f t="array" ref="N551">_xlfn.IFS(_xlfn.SINGLE(calls[Duration])&lt;30,"UNDER 30 MINS",_xlfn.SINGLE(calls[Duration])&lt;60,"30 T0 60 MINS",_xlfn.SINGLE(calls[Duration])&lt;120,"1 TO 2 HRS",TRUE,"ABOVE 2 HRS")</f>
        <v>30 T0 60 MINS</v>
      </c>
    </row>
    <row r="552" spans="1:14" x14ac:dyDescent="0.3">
      <c r="A552" t="s">
        <v>586</v>
      </c>
      <c r="B552" t="s">
        <v>46</v>
      </c>
      <c r="C552">
        <v>127</v>
      </c>
      <c r="D552" t="s">
        <v>29</v>
      </c>
      <c r="E552" s="1">
        <v>45093</v>
      </c>
      <c r="F552">
        <v>200</v>
      </c>
      <c r="G552">
        <v>4.8</v>
      </c>
      <c r="H552" t="str">
        <f>TEXT(calls[[#This Row],[Date of Call]],"DDDD")</f>
        <v>Friday</v>
      </c>
      <c r="I552">
        <f>ROUND(calls[[#This Row],[Satisfaction Rating]],0)</f>
        <v>5</v>
      </c>
      <c r="N552" t="str" cm="1">
        <f t="array" ref="N552">_xlfn.IFS(_xlfn.SINGLE(calls[Duration])&lt;30,"UNDER 30 MINS",_xlfn.SINGLE(calls[Duration])&lt;60,"30 T0 60 MINS",_xlfn.SINGLE(calls[Duration])&lt;120,"1 TO 2 HRS",TRUE,"ABOVE 2 HRS")</f>
        <v>ABOVE 2 HRS</v>
      </c>
    </row>
    <row r="553" spans="1:14" x14ac:dyDescent="0.3">
      <c r="A553" t="s">
        <v>587</v>
      </c>
      <c r="B553" t="s">
        <v>28</v>
      </c>
      <c r="C553">
        <v>132</v>
      </c>
      <c r="D553" t="s">
        <v>42</v>
      </c>
      <c r="E553" s="1">
        <v>45094</v>
      </c>
      <c r="F553">
        <v>50</v>
      </c>
      <c r="G553">
        <v>4.2</v>
      </c>
      <c r="H553" t="str">
        <f>TEXT(calls[[#This Row],[Date of Call]],"DDDD")</f>
        <v>Saturday</v>
      </c>
      <c r="I553">
        <f>ROUND(calls[[#This Row],[Satisfaction Rating]],0)</f>
        <v>4</v>
      </c>
      <c r="N553" t="str" cm="1">
        <f t="array" ref="N553">_xlfn.IFS(_xlfn.SINGLE(calls[Duration])&lt;30,"UNDER 30 MINS",_xlfn.SINGLE(calls[Duration])&lt;60,"30 T0 60 MINS",_xlfn.SINGLE(calls[Duration])&lt;120,"1 TO 2 HRS",TRUE,"ABOVE 2 HRS")</f>
        <v>ABOVE 2 HRS</v>
      </c>
    </row>
    <row r="554" spans="1:14" x14ac:dyDescent="0.3">
      <c r="A554" t="s">
        <v>588</v>
      </c>
      <c r="B554" t="s">
        <v>12</v>
      </c>
      <c r="C554">
        <v>106</v>
      </c>
      <c r="D554" t="s">
        <v>36</v>
      </c>
      <c r="E554" s="1">
        <v>45094</v>
      </c>
      <c r="F554">
        <v>112</v>
      </c>
      <c r="G554">
        <v>3.7</v>
      </c>
      <c r="H554" t="str">
        <f>TEXT(calls[[#This Row],[Date of Call]],"DDDD")</f>
        <v>Saturday</v>
      </c>
      <c r="I554">
        <f>ROUND(calls[[#This Row],[Satisfaction Rating]],0)</f>
        <v>4</v>
      </c>
      <c r="N554" t="str" cm="1">
        <f t="array" ref="N554">_xlfn.IFS(_xlfn.SINGLE(calls[Duration])&lt;30,"UNDER 30 MINS",_xlfn.SINGLE(calls[Duration])&lt;60,"30 T0 60 MINS",_xlfn.SINGLE(calls[Duration])&lt;120,"1 TO 2 HRS",TRUE,"ABOVE 2 HRS")</f>
        <v>1 TO 2 HRS</v>
      </c>
    </row>
    <row r="555" spans="1:14" x14ac:dyDescent="0.3">
      <c r="A555" t="s">
        <v>589</v>
      </c>
      <c r="B555" t="s">
        <v>37</v>
      </c>
      <c r="C555">
        <v>107</v>
      </c>
      <c r="D555" t="s">
        <v>42</v>
      </c>
      <c r="E555" s="1">
        <v>45095</v>
      </c>
      <c r="F555">
        <v>39</v>
      </c>
      <c r="G555">
        <v>4.8</v>
      </c>
      <c r="H555" t="str">
        <f>TEXT(calls[[#This Row],[Date of Call]],"DDDD")</f>
        <v>Sunday</v>
      </c>
      <c r="I555">
        <f>ROUND(calls[[#This Row],[Satisfaction Rating]],0)</f>
        <v>5</v>
      </c>
      <c r="N555" t="str" cm="1">
        <f t="array" ref="N555">_xlfn.IFS(_xlfn.SINGLE(calls[Duration])&lt;30,"UNDER 30 MINS",_xlfn.SINGLE(calls[Duration])&lt;60,"30 T0 60 MINS",_xlfn.SINGLE(calls[Duration])&lt;120,"1 TO 2 HRS",TRUE,"ABOVE 2 HRS")</f>
        <v>1 TO 2 HRS</v>
      </c>
    </row>
    <row r="556" spans="1:14" x14ac:dyDescent="0.3">
      <c r="A556" t="s">
        <v>590</v>
      </c>
      <c r="B556" t="s">
        <v>41</v>
      </c>
      <c r="C556">
        <v>85</v>
      </c>
      <c r="D556" t="s">
        <v>36</v>
      </c>
      <c r="E556" s="1">
        <v>45095</v>
      </c>
      <c r="F556">
        <v>38</v>
      </c>
      <c r="G556">
        <v>4.8</v>
      </c>
      <c r="H556" t="str">
        <f>TEXT(calls[[#This Row],[Date of Call]],"DDDD")</f>
        <v>Sunday</v>
      </c>
      <c r="I556">
        <f>ROUND(calls[[#This Row],[Satisfaction Rating]],0)</f>
        <v>5</v>
      </c>
      <c r="N556" t="str" cm="1">
        <f t="array" ref="N556">_xlfn.IFS(_xlfn.SINGLE(calls[Duration])&lt;30,"UNDER 30 MINS",_xlfn.SINGLE(calls[Duration])&lt;60,"30 T0 60 MINS",_xlfn.SINGLE(calls[Duration])&lt;120,"1 TO 2 HRS",TRUE,"ABOVE 2 HRS")</f>
        <v>1 TO 2 HRS</v>
      </c>
    </row>
    <row r="557" spans="1:14" x14ac:dyDescent="0.3">
      <c r="A557" t="s">
        <v>591</v>
      </c>
      <c r="B557" t="s">
        <v>33</v>
      </c>
      <c r="C557">
        <v>49</v>
      </c>
      <c r="D557" t="s">
        <v>42</v>
      </c>
      <c r="E557" s="1">
        <v>45096</v>
      </c>
      <c r="F557">
        <v>84</v>
      </c>
      <c r="G557">
        <v>2.9</v>
      </c>
      <c r="H557" t="str">
        <f>TEXT(calls[[#This Row],[Date of Call]],"DDDD")</f>
        <v>Monday</v>
      </c>
      <c r="I557">
        <f>ROUND(calls[[#This Row],[Satisfaction Rating]],0)</f>
        <v>3</v>
      </c>
      <c r="N557" t="str" cm="1">
        <f t="array" ref="N557">_xlfn.IFS(_xlfn.SINGLE(calls[Duration])&lt;30,"UNDER 30 MINS",_xlfn.SINGLE(calls[Duration])&lt;60,"30 T0 60 MINS",_xlfn.SINGLE(calls[Duration])&lt;120,"1 TO 2 HRS",TRUE,"ABOVE 2 HRS")</f>
        <v>30 T0 60 MINS</v>
      </c>
    </row>
    <row r="558" spans="1:14" x14ac:dyDescent="0.3">
      <c r="A558" t="s">
        <v>592</v>
      </c>
      <c r="B558" t="s">
        <v>19</v>
      </c>
      <c r="C558">
        <v>117</v>
      </c>
      <c r="D558" t="s">
        <v>29</v>
      </c>
      <c r="E558" s="1">
        <v>45097</v>
      </c>
      <c r="F558">
        <v>82</v>
      </c>
      <c r="G558">
        <v>3.5</v>
      </c>
      <c r="H558" t="str">
        <f>TEXT(calls[[#This Row],[Date of Call]],"DDDD")</f>
        <v>Tuesday</v>
      </c>
      <c r="I558">
        <f>ROUND(calls[[#This Row],[Satisfaction Rating]],0)</f>
        <v>4</v>
      </c>
      <c r="N558" t="str" cm="1">
        <f t="array" ref="N558">_xlfn.IFS(_xlfn.SINGLE(calls[Duration])&lt;30,"UNDER 30 MINS",_xlfn.SINGLE(calls[Duration])&lt;60,"30 T0 60 MINS",_xlfn.SINGLE(calls[Duration])&lt;120,"1 TO 2 HRS",TRUE,"ABOVE 2 HRS")</f>
        <v>1 TO 2 HRS</v>
      </c>
    </row>
    <row r="559" spans="1:14" x14ac:dyDescent="0.3">
      <c r="A559" t="s">
        <v>593</v>
      </c>
      <c r="B559" t="s">
        <v>37</v>
      </c>
      <c r="C559">
        <v>136</v>
      </c>
      <c r="D559" t="s">
        <v>36</v>
      </c>
      <c r="E559" s="1">
        <v>45097</v>
      </c>
      <c r="F559">
        <v>37</v>
      </c>
      <c r="G559">
        <v>0.9</v>
      </c>
      <c r="H559" t="str">
        <f>TEXT(calls[[#This Row],[Date of Call]],"DDDD")</f>
        <v>Tuesday</v>
      </c>
      <c r="I559">
        <f>ROUND(calls[[#This Row],[Satisfaction Rating]],0)</f>
        <v>1</v>
      </c>
      <c r="N559" t="str" cm="1">
        <f t="array" ref="N559">_xlfn.IFS(_xlfn.SINGLE(calls[Duration])&lt;30,"UNDER 30 MINS",_xlfn.SINGLE(calls[Duration])&lt;60,"30 T0 60 MINS",_xlfn.SINGLE(calls[Duration])&lt;120,"1 TO 2 HRS",TRUE,"ABOVE 2 HRS")</f>
        <v>ABOVE 2 HRS</v>
      </c>
    </row>
    <row r="560" spans="1:14" x14ac:dyDescent="0.3">
      <c r="A560" t="s">
        <v>594</v>
      </c>
      <c r="B560" t="s">
        <v>22</v>
      </c>
      <c r="C560">
        <v>130</v>
      </c>
      <c r="D560" t="s">
        <v>23</v>
      </c>
      <c r="E560" s="1">
        <v>45098</v>
      </c>
      <c r="F560">
        <v>87</v>
      </c>
      <c r="G560">
        <v>3.4</v>
      </c>
      <c r="H560" t="str">
        <f>TEXT(calls[[#This Row],[Date of Call]],"DDDD")</f>
        <v>Wednesday</v>
      </c>
      <c r="I560">
        <f>ROUND(calls[[#This Row],[Satisfaction Rating]],0)</f>
        <v>3</v>
      </c>
      <c r="N560" t="str" cm="1">
        <f t="array" ref="N560">_xlfn.IFS(_xlfn.SINGLE(calls[Duration])&lt;30,"UNDER 30 MINS",_xlfn.SINGLE(calls[Duration])&lt;60,"30 T0 60 MINS",_xlfn.SINGLE(calls[Duration])&lt;120,"1 TO 2 HRS",TRUE,"ABOVE 2 HRS")</f>
        <v>ABOVE 2 HRS</v>
      </c>
    </row>
    <row r="561" spans="1:14" x14ac:dyDescent="0.3">
      <c r="A561" t="s">
        <v>595</v>
      </c>
      <c r="B561" t="s">
        <v>22</v>
      </c>
      <c r="C561">
        <v>73</v>
      </c>
      <c r="D561" t="s">
        <v>23</v>
      </c>
      <c r="E561" s="1">
        <v>45098</v>
      </c>
      <c r="F561">
        <v>75</v>
      </c>
      <c r="G561">
        <v>2.7</v>
      </c>
      <c r="H561" t="str">
        <f>TEXT(calls[[#This Row],[Date of Call]],"DDDD")</f>
        <v>Wednesday</v>
      </c>
      <c r="I561">
        <f>ROUND(calls[[#This Row],[Satisfaction Rating]],0)</f>
        <v>3</v>
      </c>
      <c r="N561" t="str" cm="1">
        <f t="array" ref="N561">_xlfn.IFS(_xlfn.SINGLE(calls[Duration])&lt;30,"UNDER 30 MINS",_xlfn.SINGLE(calls[Duration])&lt;60,"30 T0 60 MINS",_xlfn.SINGLE(calls[Duration])&lt;120,"1 TO 2 HRS",TRUE,"ABOVE 2 HRS")</f>
        <v>1 TO 2 HRS</v>
      </c>
    </row>
    <row r="562" spans="1:14" x14ac:dyDescent="0.3">
      <c r="A562" t="s">
        <v>596</v>
      </c>
      <c r="B562" t="s">
        <v>33</v>
      </c>
      <c r="C562">
        <v>80</v>
      </c>
      <c r="D562" t="s">
        <v>42</v>
      </c>
      <c r="E562" s="1">
        <v>45098</v>
      </c>
      <c r="F562">
        <v>32</v>
      </c>
      <c r="G562">
        <v>4.7</v>
      </c>
      <c r="H562" t="str">
        <f>TEXT(calls[[#This Row],[Date of Call]],"DDDD")</f>
        <v>Wednesday</v>
      </c>
      <c r="I562">
        <f>ROUND(calls[[#This Row],[Satisfaction Rating]],0)</f>
        <v>5</v>
      </c>
      <c r="N562" t="str" cm="1">
        <f t="array" ref="N562">_xlfn.IFS(_xlfn.SINGLE(calls[Duration])&lt;30,"UNDER 30 MINS",_xlfn.SINGLE(calls[Duration])&lt;60,"30 T0 60 MINS",_xlfn.SINGLE(calls[Duration])&lt;120,"1 TO 2 HRS",TRUE,"ABOVE 2 HRS")</f>
        <v>1 TO 2 HRS</v>
      </c>
    </row>
    <row r="563" spans="1:14" x14ac:dyDescent="0.3">
      <c r="A563" t="s">
        <v>597</v>
      </c>
      <c r="B563" t="s">
        <v>14</v>
      </c>
      <c r="C563">
        <v>44</v>
      </c>
      <c r="D563" t="s">
        <v>29</v>
      </c>
      <c r="E563" s="1">
        <v>45098</v>
      </c>
      <c r="F563">
        <v>33</v>
      </c>
      <c r="G563">
        <v>3</v>
      </c>
      <c r="H563" t="str">
        <f>TEXT(calls[[#This Row],[Date of Call]],"DDDD")</f>
        <v>Wednesday</v>
      </c>
      <c r="I563">
        <f>ROUND(calls[[#This Row],[Satisfaction Rating]],0)</f>
        <v>3</v>
      </c>
      <c r="N563" t="str" cm="1">
        <f t="array" ref="N563">_xlfn.IFS(_xlfn.SINGLE(calls[Duration])&lt;30,"UNDER 30 MINS",_xlfn.SINGLE(calls[Duration])&lt;60,"30 T0 60 MINS",_xlfn.SINGLE(calls[Duration])&lt;120,"1 TO 2 HRS",TRUE,"ABOVE 2 HRS")</f>
        <v>30 T0 60 MINS</v>
      </c>
    </row>
    <row r="564" spans="1:14" x14ac:dyDescent="0.3">
      <c r="A564" t="s">
        <v>598</v>
      </c>
      <c r="B564" t="s">
        <v>14</v>
      </c>
      <c r="C564">
        <v>102</v>
      </c>
      <c r="D564" t="s">
        <v>13</v>
      </c>
      <c r="E564" s="1">
        <v>45098</v>
      </c>
      <c r="F564">
        <v>76</v>
      </c>
      <c r="G564">
        <v>4.2</v>
      </c>
      <c r="H564" t="str">
        <f>TEXT(calls[[#This Row],[Date of Call]],"DDDD")</f>
        <v>Wednesday</v>
      </c>
      <c r="I564">
        <f>ROUND(calls[[#This Row],[Satisfaction Rating]],0)</f>
        <v>4</v>
      </c>
      <c r="N564" t="str" cm="1">
        <f t="array" ref="N564">_xlfn.IFS(_xlfn.SINGLE(calls[Duration])&lt;30,"UNDER 30 MINS",_xlfn.SINGLE(calls[Duration])&lt;60,"30 T0 60 MINS",_xlfn.SINGLE(calls[Duration])&lt;120,"1 TO 2 HRS",TRUE,"ABOVE 2 HRS")</f>
        <v>1 TO 2 HRS</v>
      </c>
    </row>
    <row r="565" spans="1:14" x14ac:dyDescent="0.3">
      <c r="A565" t="s">
        <v>599</v>
      </c>
      <c r="B565" t="s">
        <v>50</v>
      </c>
      <c r="C565">
        <v>74</v>
      </c>
      <c r="D565" t="s">
        <v>13</v>
      </c>
      <c r="E565" s="1">
        <v>45098</v>
      </c>
      <c r="F565">
        <v>117</v>
      </c>
      <c r="G565">
        <v>4.8</v>
      </c>
      <c r="H565" t="str">
        <f>TEXT(calls[[#This Row],[Date of Call]],"DDDD")</f>
        <v>Wednesday</v>
      </c>
      <c r="I565">
        <f>ROUND(calls[[#This Row],[Satisfaction Rating]],0)</f>
        <v>5</v>
      </c>
      <c r="N565" t="str" cm="1">
        <f t="array" ref="N565">_xlfn.IFS(_xlfn.SINGLE(calls[Duration])&lt;30,"UNDER 30 MINS",_xlfn.SINGLE(calls[Duration])&lt;60,"30 T0 60 MINS",_xlfn.SINGLE(calls[Duration])&lt;120,"1 TO 2 HRS",TRUE,"ABOVE 2 HRS")</f>
        <v>1 TO 2 HRS</v>
      </c>
    </row>
    <row r="566" spans="1:14" x14ac:dyDescent="0.3">
      <c r="A566" t="s">
        <v>600</v>
      </c>
      <c r="B566" t="s">
        <v>33</v>
      </c>
      <c r="C566">
        <v>52</v>
      </c>
      <c r="D566" t="s">
        <v>29</v>
      </c>
      <c r="E566" s="1">
        <v>45100</v>
      </c>
      <c r="F566">
        <v>70</v>
      </c>
      <c r="G566">
        <v>4.0999999999999996</v>
      </c>
      <c r="H566" t="str">
        <f>TEXT(calls[[#This Row],[Date of Call]],"DDDD")</f>
        <v>Friday</v>
      </c>
      <c r="I566">
        <f>ROUND(calls[[#This Row],[Satisfaction Rating]],0)</f>
        <v>4</v>
      </c>
      <c r="N566" t="str" cm="1">
        <f t="array" ref="N566">_xlfn.IFS(_xlfn.SINGLE(calls[Duration])&lt;30,"UNDER 30 MINS",_xlfn.SINGLE(calls[Duration])&lt;60,"30 T0 60 MINS",_xlfn.SINGLE(calls[Duration])&lt;120,"1 TO 2 HRS",TRUE,"ABOVE 2 HRS")</f>
        <v>30 T0 60 MINS</v>
      </c>
    </row>
    <row r="567" spans="1:14" x14ac:dyDescent="0.3">
      <c r="A567" t="s">
        <v>601</v>
      </c>
      <c r="B567" t="s">
        <v>33</v>
      </c>
      <c r="C567">
        <v>74</v>
      </c>
      <c r="D567" t="s">
        <v>23</v>
      </c>
      <c r="E567" s="1">
        <v>45100</v>
      </c>
      <c r="F567">
        <v>37</v>
      </c>
      <c r="G567">
        <v>2.7</v>
      </c>
      <c r="H567" t="str">
        <f>TEXT(calls[[#This Row],[Date of Call]],"DDDD")</f>
        <v>Friday</v>
      </c>
      <c r="I567">
        <f>ROUND(calls[[#This Row],[Satisfaction Rating]],0)</f>
        <v>3</v>
      </c>
      <c r="N567" t="str" cm="1">
        <f t="array" ref="N567">_xlfn.IFS(_xlfn.SINGLE(calls[Duration])&lt;30,"UNDER 30 MINS",_xlfn.SINGLE(calls[Duration])&lt;60,"30 T0 60 MINS",_xlfn.SINGLE(calls[Duration])&lt;120,"1 TO 2 HRS",TRUE,"ABOVE 2 HRS")</f>
        <v>1 TO 2 HRS</v>
      </c>
    </row>
    <row r="568" spans="1:14" x14ac:dyDescent="0.3">
      <c r="A568" t="s">
        <v>602</v>
      </c>
      <c r="B568" t="s">
        <v>22</v>
      </c>
      <c r="C568">
        <v>96</v>
      </c>
      <c r="D568" t="s">
        <v>13</v>
      </c>
      <c r="E568" s="1">
        <v>45100</v>
      </c>
      <c r="F568">
        <v>46</v>
      </c>
      <c r="G568">
        <v>2.9</v>
      </c>
      <c r="H568" t="str">
        <f>TEXT(calls[[#This Row],[Date of Call]],"DDDD")</f>
        <v>Friday</v>
      </c>
      <c r="I568">
        <f>ROUND(calls[[#This Row],[Satisfaction Rating]],0)</f>
        <v>3</v>
      </c>
      <c r="N568" t="str" cm="1">
        <f t="array" ref="N568">_xlfn.IFS(_xlfn.SINGLE(calls[Duration])&lt;30,"UNDER 30 MINS",_xlfn.SINGLE(calls[Duration])&lt;60,"30 T0 60 MINS",_xlfn.SINGLE(calls[Duration])&lt;120,"1 TO 2 HRS",TRUE,"ABOVE 2 HRS")</f>
        <v>1 TO 2 HRS</v>
      </c>
    </row>
    <row r="569" spans="1:14" x14ac:dyDescent="0.3">
      <c r="A569" t="s">
        <v>603</v>
      </c>
      <c r="B569" t="s">
        <v>45</v>
      </c>
      <c r="C569">
        <v>104</v>
      </c>
      <c r="D569" t="s">
        <v>42</v>
      </c>
      <c r="E569" s="1">
        <v>45100</v>
      </c>
      <c r="F569">
        <v>136</v>
      </c>
      <c r="G569">
        <v>5</v>
      </c>
      <c r="H569" t="str">
        <f>TEXT(calls[[#This Row],[Date of Call]],"DDDD")</f>
        <v>Friday</v>
      </c>
      <c r="I569">
        <f>ROUND(calls[[#This Row],[Satisfaction Rating]],0)</f>
        <v>5</v>
      </c>
      <c r="N569" t="str" cm="1">
        <f t="array" ref="N569">_xlfn.IFS(_xlfn.SINGLE(calls[Duration])&lt;30,"UNDER 30 MINS",_xlfn.SINGLE(calls[Duration])&lt;60,"30 T0 60 MINS",_xlfn.SINGLE(calls[Duration])&lt;120,"1 TO 2 HRS",TRUE,"ABOVE 2 HRS")</f>
        <v>1 TO 2 HRS</v>
      </c>
    </row>
    <row r="570" spans="1:14" x14ac:dyDescent="0.3">
      <c r="A570" t="s">
        <v>604</v>
      </c>
      <c r="B570" t="s">
        <v>22</v>
      </c>
      <c r="C570">
        <v>123</v>
      </c>
      <c r="D570" t="s">
        <v>13</v>
      </c>
      <c r="E570" s="1">
        <v>45101</v>
      </c>
      <c r="F570">
        <v>44</v>
      </c>
      <c r="G570">
        <v>4.5999999999999996</v>
      </c>
      <c r="H570" t="str">
        <f>TEXT(calls[[#This Row],[Date of Call]],"DDDD")</f>
        <v>Saturday</v>
      </c>
      <c r="I570">
        <f>ROUND(calls[[#This Row],[Satisfaction Rating]],0)</f>
        <v>5</v>
      </c>
      <c r="N570" t="str" cm="1">
        <f t="array" ref="N570">_xlfn.IFS(_xlfn.SINGLE(calls[Duration])&lt;30,"UNDER 30 MINS",_xlfn.SINGLE(calls[Duration])&lt;60,"30 T0 60 MINS",_xlfn.SINGLE(calls[Duration])&lt;120,"1 TO 2 HRS",TRUE,"ABOVE 2 HRS")</f>
        <v>ABOVE 2 HRS</v>
      </c>
    </row>
    <row r="571" spans="1:14" x14ac:dyDescent="0.3">
      <c r="A571" t="s">
        <v>605</v>
      </c>
      <c r="B571" t="s">
        <v>39</v>
      </c>
      <c r="C571">
        <v>100</v>
      </c>
      <c r="D571" t="s">
        <v>36</v>
      </c>
      <c r="E571" s="1">
        <v>45101</v>
      </c>
      <c r="F571">
        <v>69</v>
      </c>
      <c r="G571">
        <v>3</v>
      </c>
      <c r="H571" t="str">
        <f>TEXT(calls[[#This Row],[Date of Call]],"DDDD")</f>
        <v>Saturday</v>
      </c>
      <c r="I571">
        <f>ROUND(calls[[#This Row],[Satisfaction Rating]],0)</f>
        <v>3</v>
      </c>
      <c r="N571" t="str" cm="1">
        <f t="array" ref="N571">_xlfn.IFS(_xlfn.SINGLE(calls[Duration])&lt;30,"UNDER 30 MINS",_xlfn.SINGLE(calls[Duration])&lt;60,"30 T0 60 MINS",_xlfn.SINGLE(calls[Duration])&lt;120,"1 TO 2 HRS",TRUE,"ABOVE 2 HRS")</f>
        <v>1 TO 2 HRS</v>
      </c>
    </row>
    <row r="572" spans="1:14" x14ac:dyDescent="0.3">
      <c r="A572" t="s">
        <v>606</v>
      </c>
      <c r="B572" t="s">
        <v>45</v>
      </c>
      <c r="C572">
        <v>35</v>
      </c>
      <c r="D572" t="s">
        <v>29</v>
      </c>
      <c r="E572" s="1">
        <v>45102</v>
      </c>
      <c r="F572">
        <v>86</v>
      </c>
      <c r="G572">
        <v>4.5999999999999996</v>
      </c>
      <c r="H572" t="str">
        <f>TEXT(calls[[#This Row],[Date of Call]],"DDDD")</f>
        <v>Sunday</v>
      </c>
      <c r="I572">
        <f>ROUND(calls[[#This Row],[Satisfaction Rating]],0)</f>
        <v>5</v>
      </c>
      <c r="N572" t="str" cm="1">
        <f t="array" ref="N572">_xlfn.IFS(_xlfn.SINGLE(calls[Duration])&lt;30,"UNDER 30 MINS",_xlfn.SINGLE(calls[Duration])&lt;60,"30 T0 60 MINS",_xlfn.SINGLE(calls[Duration])&lt;120,"1 TO 2 HRS",TRUE,"ABOVE 2 HRS")</f>
        <v>30 T0 60 MINS</v>
      </c>
    </row>
    <row r="573" spans="1:14" x14ac:dyDescent="0.3">
      <c r="A573" t="s">
        <v>607</v>
      </c>
      <c r="B573" t="s">
        <v>33</v>
      </c>
      <c r="C573">
        <v>123</v>
      </c>
      <c r="D573" t="s">
        <v>42</v>
      </c>
      <c r="E573" s="1">
        <v>45102</v>
      </c>
      <c r="F573">
        <v>68</v>
      </c>
      <c r="G573">
        <v>4.5</v>
      </c>
      <c r="H573" t="str">
        <f>TEXT(calls[[#This Row],[Date of Call]],"DDDD")</f>
        <v>Sunday</v>
      </c>
      <c r="I573">
        <f>ROUND(calls[[#This Row],[Satisfaction Rating]],0)</f>
        <v>5</v>
      </c>
      <c r="N573" t="str" cm="1">
        <f t="array" ref="N573">_xlfn.IFS(_xlfn.SINGLE(calls[Duration])&lt;30,"UNDER 30 MINS",_xlfn.SINGLE(calls[Duration])&lt;60,"30 T0 60 MINS",_xlfn.SINGLE(calls[Duration])&lt;120,"1 TO 2 HRS",TRUE,"ABOVE 2 HRS")</f>
        <v>ABOVE 2 HRS</v>
      </c>
    </row>
    <row r="574" spans="1:14" x14ac:dyDescent="0.3">
      <c r="A574" t="s">
        <v>608</v>
      </c>
      <c r="B574" t="s">
        <v>19</v>
      </c>
      <c r="C574">
        <v>133</v>
      </c>
      <c r="D574" t="s">
        <v>29</v>
      </c>
      <c r="E574" s="1">
        <v>45103</v>
      </c>
      <c r="F574">
        <v>21</v>
      </c>
      <c r="G574">
        <v>3.7</v>
      </c>
      <c r="H574" t="str">
        <f>TEXT(calls[[#This Row],[Date of Call]],"DDDD")</f>
        <v>Monday</v>
      </c>
      <c r="I574">
        <f>ROUND(calls[[#This Row],[Satisfaction Rating]],0)</f>
        <v>4</v>
      </c>
      <c r="N574" t="str" cm="1">
        <f t="array" ref="N574">_xlfn.IFS(_xlfn.SINGLE(calls[Duration])&lt;30,"UNDER 30 MINS",_xlfn.SINGLE(calls[Duration])&lt;60,"30 T0 60 MINS",_xlfn.SINGLE(calls[Duration])&lt;120,"1 TO 2 HRS",TRUE,"ABOVE 2 HRS")</f>
        <v>ABOVE 2 HRS</v>
      </c>
    </row>
    <row r="575" spans="1:14" x14ac:dyDescent="0.3">
      <c r="A575" t="s">
        <v>609</v>
      </c>
      <c r="B575" t="s">
        <v>22</v>
      </c>
      <c r="C575">
        <v>126</v>
      </c>
      <c r="D575" t="s">
        <v>23</v>
      </c>
      <c r="E575" s="1">
        <v>45103</v>
      </c>
      <c r="F575">
        <v>190</v>
      </c>
      <c r="G575">
        <v>2.4</v>
      </c>
      <c r="H575" t="str">
        <f>TEXT(calls[[#This Row],[Date of Call]],"DDDD")</f>
        <v>Monday</v>
      </c>
      <c r="I575">
        <f>ROUND(calls[[#This Row],[Satisfaction Rating]],0)</f>
        <v>2</v>
      </c>
      <c r="N575" t="str" cm="1">
        <f t="array" ref="N575">_xlfn.IFS(_xlfn.SINGLE(calls[Duration])&lt;30,"UNDER 30 MINS",_xlfn.SINGLE(calls[Duration])&lt;60,"30 T0 60 MINS",_xlfn.SINGLE(calls[Duration])&lt;120,"1 TO 2 HRS",TRUE,"ABOVE 2 HRS")</f>
        <v>ABOVE 2 HRS</v>
      </c>
    </row>
    <row r="576" spans="1:14" x14ac:dyDescent="0.3">
      <c r="A576" t="s">
        <v>610</v>
      </c>
      <c r="B576" t="s">
        <v>33</v>
      </c>
      <c r="C576">
        <v>39</v>
      </c>
      <c r="D576" t="s">
        <v>13</v>
      </c>
      <c r="E576" s="1">
        <v>45103</v>
      </c>
      <c r="F576">
        <v>176</v>
      </c>
      <c r="G576">
        <v>4.3</v>
      </c>
      <c r="H576" t="str">
        <f>TEXT(calls[[#This Row],[Date of Call]],"DDDD")</f>
        <v>Monday</v>
      </c>
      <c r="I576">
        <f>ROUND(calls[[#This Row],[Satisfaction Rating]],0)</f>
        <v>4</v>
      </c>
      <c r="N576" t="str" cm="1">
        <f t="array" ref="N576">_xlfn.IFS(_xlfn.SINGLE(calls[Duration])&lt;30,"UNDER 30 MINS",_xlfn.SINGLE(calls[Duration])&lt;60,"30 T0 60 MINS",_xlfn.SINGLE(calls[Duration])&lt;120,"1 TO 2 HRS",TRUE,"ABOVE 2 HRS")</f>
        <v>30 T0 60 MINS</v>
      </c>
    </row>
    <row r="577" spans="1:14" x14ac:dyDescent="0.3">
      <c r="A577" t="s">
        <v>611</v>
      </c>
      <c r="B577" t="s">
        <v>50</v>
      </c>
      <c r="C577">
        <v>31</v>
      </c>
      <c r="D577" t="s">
        <v>42</v>
      </c>
      <c r="E577" s="1">
        <v>45103</v>
      </c>
      <c r="F577">
        <v>172</v>
      </c>
      <c r="G577">
        <v>3.9</v>
      </c>
      <c r="H577" t="str">
        <f>TEXT(calls[[#This Row],[Date of Call]],"DDDD")</f>
        <v>Monday</v>
      </c>
      <c r="I577">
        <f>ROUND(calls[[#This Row],[Satisfaction Rating]],0)</f>
        <v>4</v>
      </c>
      <c r="N577" t="str" cm="1">
        <f t="array" ref="N577">_xlfn.IFS(_xlfn.SINGLE(calls[Duration])&lt;30,"UNDER 30 MINS",_xlfn.SINGLE(calls[Duration])&lt;60,"30 T0 60 MINS",_xlfn.SINGLE(calls[Duration])&lt;120,"1 TO 2 HRS",TRUE,"ABOVE 2 HRS")</f>
        <v>30 T0 60 MINS</v>
      </c>
    </row>
    <row r="578" spans="1:14" x14ac:dyDescent="0.3">
      <c r="A578" t="s">
        <v>612</v>
      </c>
      <c r="B578" t="s">
        <v>28</v>
      </c>
      <c r="C578">
        <v>25</v>
      </c>
      <c r="D578" t="s">
        <v>29</v>
      </c>
      <c r="E578" s="1">
        <v>45103</v>
      </c>
      <c r="F578">
        <v>84</v>
      </c>
      <c r="G578">
        <v>4.5</v>
      </c>
      <c r="H578" t="str">
        <f>TEXT(calls[[#This Row],[Date of Call]],"DDDD")</f>
        <v>Monday</v>
      </c>
      <c r="I578">
        <f>ROUND(calls[[#This Row],[Satisfaction Rating]],0)</f>
        <v>5</v>
      </c>
      <c r="N578" t="str" cm="1">
        <f t="array" ref="N578">_xlfn.IFS(_xlfn.SINGLE(calls[Duration])&lt;30,"UNDER 30 MINS",_xlfn.SINGLE(calls[Duration])&lt;60,"30 T0 60 MINS",_xlfn.SINGLE(calls[Duration])&lt;120,"1 TO 2 HRS",TRUE,"ABOVE 2 HRS")</f>
        <v>UNDER 30 MINS</v>
      </c>
    </row>
    <row r="579" spans="1:14" x14ac:dyDescent="0.3">
      <c r="A579" t="s">
        <v>613</v>
      </c>
      <c r="B579" t="s">
        <v>18</v>
      </c>
      <c r="C579">
        <v>132</v>
      </c>
      <c r="D579" t="s">
        <v>36</v>
      </c>
      <c r="E579" s="1">
        <v>45104</v>
      </c>
      <c r="F579">
        <v>42</v>
      </c>
      <c r="G579">
        <v>5</v>
      </c>
      <c r="H579" t="str">
        <f>TEXT(calls[[#This Row],[Date of Call]],"DDDD")</f>
        <v>Tuesday</v>
      </c>
      <c r="I579">
        <f>ROUND(calls[[#This Row],[Satisfaction Rating]],0)</f>
        <v>5</v>
      </c>
      <c r="N579" t="str" cm="1">
        <f t="array" ref="N579">_xlfn.IFS(_xlfn.SINGLE(calls[Duration])&lt;30,"UNDER 30 MINS",_xlfn.SINGLE(calls[Duration])&lt;60,"30 T0 60 MINS",_xlfn.SINGLE(calls[Duration])&lt;120,"1 TO 2 HRS",TRUE,"ABOVE 2 HRS")</f>
        <v>ABOVE 2 HRS</v>
      </c>
    </row>
    <row r="580" spans="1:14" x14ac:dyDescent="0.3">
      <c r="A580" t="s">
        <v>614</v>
      </c>
      <c r="B580" t="s">
        <v>45</v>
      </c>
      <c r="C580">
        <v>63</v>
      </c>
      <c r="D580" t="s">
        <v>23</v>
      </c>
      <c r="E580" s="1">
        <v>45104</v>
      </c>
      <c r="F580">
        <v>70</v>
      </c>
      <c r="G580">
        <v>1.6</v>
      </c>
      <c r="H580" t="str">
        <f>TEXT(calls[[#This Row],[Date of Call]],"DDDD")</f>
        <v>Tuesday</v>
      </c>
      <c r="I580">
        <f>ROUND(calls[[#This Row],[Satisfaction Rating]],0)</f>
        <v>2</v>
      </c>
      <c r="N580" t="str" cm="1">
        <f t="array" ref="N580">_xlfn.IFS(_xlfn.SINGLE(calls[Duration])&lt;30,"UNDER 30 MINS",_xlfn.SINGLE(calls[Duration])&lt;60,"30 T0 60 MINS",_xlfn.SINGLE(calls[Duration])&lt;120,"1 TO 2 HRS",TRUE,"ABOVE 2 HRS")</f>
        <v>1 TO 2 HRS</v>
      </c>
    </row>
    <row r="581" spans="1:14" x14ac:dyDescent="0.3">
      <c r="A581" t="s">
        <v>615</v>
      </c>
      <c r="B581" t="s">
        <v>39</v>
      </c>
      <c r="C581">
        <v>135</v>
      </c>
      <c r="D581" t="s">
        <v>36</v>
      </c>
      <c r="E581" s="1">
        <v>45104</v>
      </c>
      <c r="F581">
        <v>60</v>
      </c>
      <c r="G581">
        <v>4.3</v>
      </c>
      <c r="H581" t="str">
        <f>TEXT(calls[[#This Row],[Date of Call]],"DDDD")</f>
        <v>Tuesday</v>
      </c>
      <c r="I581">
        <f>ROUND(calls[[#This Row],[Satisfaction Rating]],0)</f>
        <v>4</v>
      </c>
      <c r="N581" t="str" cm="1">
        <f t="array" ref="N581">_xlfn.IFS(_xlfn.SINGLE(calls[Duration])&lt;30,"UNDER 30 MINS",_xlfn.SINGLE(calls[Duration])&lt;60,"30 T0 60 MINS",_xlfn.SINGLE(calls[Duration])&lt;120,"1 TO 2 HRS",TRUE,"ABOVE 2 HRS")</f>
        <v>ABOVE 2 HRS</v>
      </c>
    </row>
    <row r="582" spans="1:14" x14ac:dyDescent="0.3">
      <c r="A582" t="s">
        <v>616</v>
      </c>
      <c r="B582" t="s">
        <v>41</v>
      </c>
      <c r="C582">
        <v>101</v>
      </c>
      <c r="D582" t="s">
        <v>23</v>
      </c>
      <c r="E582" s="1">
        <v>45104</v>
      </c>
      <c r="F582">
        <v>84</v>
      </c>
      <c r="G582">
        <v>3.5</v>
      </c>
      <c r="H582" t="str">
        <f>TEXT(calls[[#This Row],[Date of Call]],"DDDD")</f>
        <v>Tuesday</v>
      </c>
      <c r="I582">
        <f>ROUND(calls[[#This Row],[Satisfaction Rating]],0)</f>
        <v>4</v>
      </c>
      <c r="N582" t="str" cm="1">
        <f t="array" ref="N582">_xlfn.IFS(_xlfn.SINGLE(calls[Duration])&lt;30,"UNDER 30 MINS",_xlfn.SINGLE(calls[Duration])&lt;60,"30 T0 60 MINS",_xlfn.SINGLE(calls[Duration])&lt;120,"1 TO 2 HRS",TRUE,"ABOVE 2 HRS")</f>
        <v>1 TO 2 HRS</v>
      </c>
    </row>
    <row r="583" spans="1:14" x14ac:dyDescent="0.3">
      <c r="A583" t="s">
        <v>617</v>
      </c>
      <c r="B583" t="s">
        <v>19</v>
      </c>
      <c r="C583">
        <v>80</v>
      </c>
      <c r="D583" t="s">
        <v>13</v>
      </c>
      <c r="E583" s="1">
        <v>45105</v>
      </c>
      <c r="F583">
        <v>68</v>
      </c>
      <c r="G583">
        <v>3.1</v>
      </c>
      <c r="H583" t="str">
        <f>TEXT(calls[[#This Row],[Date of Call]],"DDDD")</f>
        <v>Wednesday</v>
      </c>
      <c r="I583">
        <f>ROUND(calls[[#This Row],[Satisfaction Rating]],0)</f>
        <v>3</v>
      </c>
      <c r="N583" t="str" cm="1">
        <f t="array" ref="N583">_xlfn.IFS(_xlfn.SINGLE(calls[Duration])&lt;30,"UNDER 30 MINS",_xlfn.SINGLE(calls[Duration])&lt;60,"30 T0 60 MINS",_xlfn.SINGLE(calls[Duration])&lt;120,"1 TO 2 HRS",TRUE,"ABOVE 2 HRS")</f>
        <v>1 TO 2 HRS</v>
      </c>
    </row>
    <row r="584" spans="1:14" x14ac:dyDescent="0.3">
      <c r="A584" t="s">
        <v>618</v>
      </c>
      <c r="B584" t="s">
        <v>14</v>
      </c>
      <c r="C584">
        <v>28</v>
      </c>
      <c r="D584" t="s">
        <v>13</v>
      </c>
      <c r="E584" s="1">
        <v>45105</v>
      </c>
      <c r="F584">
        <v>44</v>
      </c>
      <c r="G584">
        <v>2.9</v>
      </c>
      <c r="H584" t="str">
        <f>TEXT(calls[[#This Row],[Date of Call]],"DDDD")</f>
        <v>Wednesday</v>
      </c>
      <c r="I584">
        <f>ROUND(calls[[#This Row],[Satisfaction Rating]],0)</f>
        <v>3</v>
      </c>
      <c r="N584" t="str" cm="1">
        <f t="array" ref="N584">_xlfn.IFS(_xlfn.SINGLE(calls[Duration])&lt;30,"UNDER 30 MINS",_xlfn.SINGLE(calls[Duration])&lt;60,"30 T0 60 MINS",_xlfn.SINGLE(calls[Duration])&lt;120,"1 TO 2 HRS",TRUE,"ABOVE 2 HRS")</f>
        <v>UNDER 30 MINS</v>
      </c>
    </row>
    <row r="585" spans="1:14" x14ac:dyDescent="0.3">
      <c r="A585" t="s">
        <v>619</v>
      </c>
      <c r="B585" t="s">
        <v>41</v>
      </c>
      <c r="C585">
        <v>102</v>
      </c>
      <c r="D585" t="s">
        <v>36</v>
      </c>
      <c r="E585" s="1">
        <v>45106</v>
      </c>
      <c r="F585">
        <v>99</v>
      </c>
      <c r="G585">
        <v>3.2</v>
      </c>
      <c r="H585" t="str">
        <f>TEXT(calls[[#This Row],[Date of Call]],"DDDD")</f>
        <v>Thursday</v>
      </c>
      <c r="I585">
        <f>ROUND(calls[[#This Row],[Satisfaction Rating]],0)</f>
        <v>3</v>
      </c>
      <c r="N585" t="str" cm="1">
        <f t="array" ref="N585">_xlfn.IFS(_xlfn.SINGLE(calls[Duration])&lt;30,"UNDER 30 MINS",_xlfn.SINGLE(calls[Duration])&lt;60,"30 T0 60 MINS",_xlfn.SINGLE(calls[Duration])&lt;120,"1 TO 2 HRS",TRUE,"ABOVE 2 HRS")</f>
        <v>1 TO 2 HRS</v>
      </c>
    </row>
    <row r="586" spans="1:14" x14ac:dyDescent="0.3">
      <c r="A586" t="s">
        <v>620</v>
      </c>
      <c r="B586" t="s">
        <v>45</v>
      </c>
      <c r="C586">
        <v>60</v>
      </c>
      <c r="D586" t="s">
        <v>36</v>
      </c>
      <c r="E586" s="1">
        <v>45107</v>
      </c>
      <c r="F586">
        <v>66</v>
      </c>
      <c r="G586">
        <v>3.2</v>
      </c>
      <c r="H586" t="str">
        <f>TEXT(calls[[#This Row],[Date of Call]],"DDDD")</f>
        <v>Friday</v>
      </c>
      <c r="I586">
        <f>ROUND(calls[[#This Row],[Satisfaction Rating]],0)</f>
        <v>3</v>
      </c>
      <c r="N586" t="str" cm="1">
        <f t="array" ref="N586">_xlfn.IFS(_xlfn.SINGLE(calls[Duration])&lt;30,"UNDER 30 MINS",_xlfn.SINGLE(calls[Duration])&lt;60,"30 T0 60 MINS",_xlfn.SINGLE(calls[Duration])&lt;120,"1 TO 2 HRS",TRUE,"ABOVE 2 HRS")</f>
        <v>1 TO 2 HRS</v>
      </c>
    </row>
    <row r="587" spans="1:14" x14ac:dyDescent="0.3">
      <c r="A587" t="s">
        <v>621</v>
      </c>
      <c r="B587" t="s">
        <v>26</v>
      </c>
      <c r="C587">
        <v>103</v>
      </c>
      <c r="D587" t="s">
        <v>36</v>
      </c>
      <c r="E587" s="1">
        <v>45107</v>
      </c>
      <c r="F587">
        <v>102</v>
      </c>
      <c r="G587">
        <v>4.5</v>
      </c>
      <c r="H587" t="str">
        <f>TEXT(calls[[#This Row],[Date of Call]],"DDDD")</f>
        <v>Friday</v>
      </c>
      <c r="I587">
        <f>ROUND(calls[[#This Row],[Satisfaction Rating]],0)</f>
        <v>5</v>
      </c>
      <c r="N587" t="str" cm="1">
        <f t="array" ref="N587">_xlfn.IFS(_xlfn.SINGLE(calls[Duration])&lt;30,"UNDER 30 MINS",_xlfn.SINGLE(calls[Duration])&lt;60,"30 T0 60 MINS",_xlfn.SINGLE(calls[Duration])&lt;120,"1 TO 2 HRS",TRUE,"ABOVE 2 HRS")</f>
        <v>1 TO 2 HRS</v>
      </c>
    </row>
    <row r="588" spans="1:14" x14ac:dyDescent="0.3">
      <c r="A588" t="s">
        <v>622</v>
      </c>
      <c r="B588" t="s">
        <v>19</v>
      </c>
      <c r="C588">
        <v>90</v>
      </c>
      <c r="D588" t="s">
        <v>13</v>
      </c>
      <c r="E588" s="1">
        <v>45108</v>
      </c>
      <c r="F588">
        <v>129</v>
      </c>
      <c r="G588">
        <v>3.9</v>
      </c>
      <c r="H588" t="str">
        <f>TEXT(calls[[#This Row],[Date of Call]],"DDDD")</f>
        <v>Saturday</v>
      </c>
      <c r="I588">
        <f>ROUND(calls[[#This Row],[Satisfaction Rating]],0)</f>
        <v>4</v>
      </c>
      <c r="N588" t="str" cm="1">
        <f t="array" ref="N588">_xlfn.IFS(_xlfn.SINGLE(calls[Duration])&lt;30,"UNDER 30 MINS",_xlfn.SINGLE(calls[Duration])&lt;60,"30 T0 60 MINS",_xlfn.SINGLE(calls[Duration])&lt;120,"1 TO 2 HRS",TRUE,"ABOVE 2 HRS")</f>
        <v>1 TO 2 HRS</v>
      </c>
    </row>
    <row r="589" spans="1:14" x14ac:dyDescent="0.3">
      <c r="A589" t="s">
        <v>623</v>
      </c>
      <c r="B589" t="s">
        <v>46</v>
      </c>
      <c r="C589">
        <v>88</v>
      </c>
      <c r="D589" t="s">
        <v>36</v>
      </c>
      <c r="E589" s="1">
        <v>45108</v>
      </c>
      <c r="F589">
        <v>80</v>
      </c>
      <c r="G589">
        <v>4.2</v>
      </c>
      <c r="H589" t="str">
        <f>TEXT(calls[[#This Row],[Date of Call]],"DDDD")</f>
        <v>Saturday</v>
      </c>
      <c r="I589">
        <f>ROUND(calls[[#This Row],[Satisfaction Rating]],0)</f>
        <v>4</v>
      </c>
      <c r="N589" t="str" cm="1">
        <f t="array" ref="N589">_xlfn.IFS(_xlfn.SINGLE(calls[Duration])&lt;30,"UNDER 30 MINS",_xlfn.SINGLE(calls[Duration])&lt;60,"30 T0 60 MINS",_xlfn.SINGLE(calls[Duration])&lt;120,"1 TO 2 HRS",TRUE,"ABOVE 2 HRS")</f>
        <v>1 TO 2 HRS</v>
      </c>
    </row>
    <row r="590" spans="1:14" x14ac:dyDescent="0.3">
      <c r="A590" t="s">
        <v>624</v>
      </c>
      <c r="B590" t="s">
        <v>26</v>
      </c>
      <c r="C590">
        <v>37</v>
      </c>
      <c r="D590" t="s">
        <v>36</v>
      </c>
      <c r="E590" s="1">
        <v>45108</v>
      </c>
      <c r="F590">
        <v>54</v>
      </c>
      <c r="G590">
        <v>1.8</v>
      </c>
      <c r="H590" t="str">
        <f>TEXT(calls[[#This Row],[Date of Call]],"DDDD")</f>
        <v>Saturday</v>
      </c>
      <c r="I590">
        <f>ROUND(calls[[#This Row],[Satisfaction Rating]],0)</f>
        <v>2</v>
      </c>
      <c r="N590" t="str" cm="1">
        <f t="array" ref="N590">_xlfn.IFS(_xlfn.SINGLE(calls[Duration])&lt;30,"UNDER 30 MINS",_xlfn.SINGLE(calls[Duration])&lt;60,"30 T0 60 MINS",_xlfn.SINGLE(calls[Duration])&lt;120,"1 TO 2 HRS",TRUE,"ABOVE 2 HRS")</f>
        <v>30 T0 60 MINS</v>
      </c>
    </row>
    <row r="591" spans="1:14" x14ac:dyDescent="0.3">
      <c r="A591" t="s">
        <v>625</v>
      </c>
      <c r="B591" t="s">
        <v>14</v>
      </c>
      <c r="C591">
        <v>142</v>
      </c>
      <c r="D591" t="s">
        <v>13</v>
      </c>
      <c r="E591" s="1">
        <v>45108</v>
      </c>
      <c r="F591">
        <v>116</v>
      </c>
      <c r="G591">
        <v>4.2</v>
      </c>
      <c r="H591" t="str">
        <f>TEXT(calls[[#This Row],[Date of Call]],"DDDD")</f>
        <v>Saturday</v>
      </c>
      <c r="I591">
        <f>ROUND(calls[[#This Row],[Satisfaction Rating]],0)</f>
        <v>4</v>
      </c>
      <c r="N591" t="str" cm="1">
        <f t="array" ref="N591">_xlfn.IFS(_xlfn.SINGLE(calls[Duration])&lt;30,"UNDER 30 MINS",_xlfn.SINGLE(calls[Duration])&lt;60,"30 T0 60 MINS",_xlfn.SINGLE(calls[Duration])&lt;120,"1 TO 2 HRS",TRUE,"ABOVE 2 HRS")</f>
        <v>ABOVE 2 HRS</v>
      </c>
    </row>
    <row r="592" spans="1:14" x14ac:dyDescent="0.3">
      <c r="A592" t="s">
        <v>626</v>
      </c>
      <c r="B592" t="s">
        <v>14</v>
      </c>
      <c r="C592">
        <v>153</v>
      </c>
      <c r="D592" t="s">
        <v>29</v>
      </c>
      <c r="E592" s="1">
        <v>45108</v>
      </c>
      <c r="F592">
        <v>102</v>
      </c>
      <c r="G592">
        <v>3.1</v>
      </c>
      <c r="H592" t="str">
        <f>TEXT(calls[[#This Row],[Date of Call]],"DDDD")</f>
        <v>Saturday</v>
      </c>
      <c r="I592">
        <f>ROUND(calls[[#This Row],[Satisfaction Rating]],0)</f>
        <v>3</v>
      </c>
      <c r="N592" t="str" cm="1">
        <f t="array" ref="N592">_xlfn.IFS(_xlfn.SINGLE(calls[Duration])&lt;30,"UNDER 30 MINS",_xlfn.SINGLE(calls[Duration])&lt;60,"30 T0 60 MINS",_xlfn.SINGLE(calls[Duration])&lt;120,"1 TO 2 HRS",TRUE,"ABOVE 2 HRS")</f>
        <v>ABOVE 2 HRS</v>
      </c>
    </row>
    <row r="593" spans="1:14" x14ac:dyDescent="0.3">
      <c r="A593" t="s">
        <v>627</v>
      </c>
      <c r="B593" t="s">
        <v>31</v>
      </c>
      <c r="C593">
        <v>128</v>
      </c>
      <c r="D593" t="s">
        <v>23</v>
      </c>
      <c r="E593" s="1">
        <v>45108</v>
      </c>
      <c r="F593">
        <v>140</v>
      </c>
      <c r="G593">
        <v>4.3</v>
      </c>
      <c r="H593" t="str">
        <f>TEXT(calls[[#This Row],[Date of Call]],"DDDD")</f>
        <v>Saturday</v>
      </c>
      <c r="I593">
        <f>ROUND(calls[[#This Row],[Satisfaction Rating]],0)</f>
        <v>4</v>
      </c>
      <c r="N593" t="str" cm="1">
        <f t="array" ref="N593">_xlfn.IFS(_xlfn.SINGLE(calls[Duration])&lt;30,"UNDER 30 MINS",_xlfn.SINGLE(calls[Duration])&lt;60,"30 T0 60 MINS",_xlfn.SINGLE(calls[Duration])&lt;120,"1 TO 2 HRS",TRUE,"ABOVE 2 HRS")</f>
        <v>ABOVE 2 HRS</v>
      </c>
    </row>
    <row r="594" spans="1:14" x14ac:dyDescent="0.3">
      <c r="A594" t="s">
        <v>628</v>
      </c>
      <c r="B594" t="s">
        <v>45</v>
      </c>
      <c r="C594">
        <v>110</v>
      </c>
      <c r="D594" t="s">
        <v>23</v>
      </c>
      <c r="E594" s="1">
        <v>45109</v>
      </c>
      <c r="F594">
        <v>104</v>
      </c>
      <c r="G594">
        <v>4.4000000000000004</v>
      </c>
      <c r="H594" t="str">
        <f>TEXT(calls[[#This Row],[Date of Call]],"DDDD")</f>
        <v>Sunday</v>
      </c>
      <c r="I594">
        <f>ROUND(calls[[#This Row],[Satisfaction Rating]],0)</f>
        <v>4</v>
      </c>
      <c r="N594" t="str" cm="1">
        <f t="array" ref="N594">_xlfn.IFS(_xlfn.SINGLE(calls[Duration])&lt;30,"UNDER 30 MINS",_xlfn.SINGLE(calls[Duration])&lt;60,"30 T0 60 MINS",_xlfn.SINGLE(calls[Duration])&lt;120,"1 TO 2 HRS",TRUE,"ABOVE 2 HRS")</f>
        <v>1 TO 2 HRS</v>
      </c>
    </row>
    <row r="595" spans="1:14" x14ac:dyDescent="0.3">
      <c r="A595" t="s">
        <v>629</v>
      </c>
      <c r="B595" t="s">
        <v>31</v>
      </c>
      <c r="C595">
        <v>139</v>
      </c>
      <c r="D595" t="s">
        <v>36</v>
      </c>
      <c r="E595" s="1">
        <v>45109</v>
      </c>
      <c r="F595">
        <v>81</v>
      </c>
      <c r="G595">
        <v>4.4000000000000004</v>
      </c>
      <c r="H595" t="str">
        <f>TEXT(calls[[#This Row],[Date of Call]],"DDDD")</f>
        <v>Sunday</v>
      </c>
      <c r="I595">
        <f>ROUND(calls[[#This Row],[Satisfaction Rating]],0)</f>
        <v>4</v>
      </c>
      <c r="N595" t="str" cm="1">
        <f t="array" ref="N595">_xlfn.IFS(_xlfn.SINGLE(calls[Duration])&lt;30,"UNDER 30 MINS",_xlfn.SINGLE(calls[Duration])&lt;60,"30 T0 60 MINS",_xlfn.SINGLE(calls[Duration])&lt;120,"1 TO 2 HRS",TRUE,"ABOVE 2 HRS")</f>
        <v>ABOVE 2 HRS</v>
      </c>
    </row>
    <row r="596" spans="1:14" x14ac:dyDescent="0.3">
      <c r="A596" t="s">
        <v>630</v>
      </c>
      <c r="B596" t="s">
        <v>41</v>
      </c>
      <c r="C596">
        <v>109</v>
      </c>
      <c r="D596" t="s">
        <v>42</v>
      </c>
      <c r="E596" s="1">
        <v>45111</v>
      </c>
      <c r="F596">
        <v>140</v>
      </c>
      <c r="G596">
        <v>2.4</v>
      </c>
      <c r="H596" t="str">
        <f>TEXT(calls[[#This Row],[Date of Call]],"DDDD")</f>
        <v>Tuesday</v>
      </c>
      <c r="I596">
        <f>ROUND(calls[[#This Row],[Satisfaction Rating]],0)</f>
        <v>2</v>
      </c>
      <c r="N596" t="str" cm="1">
        <f t="array" ref="N596">_xlfn.IFS(_xlfn.SINGLE(calls[Duration])&lt;30,"UNDER 30 MINS",_xlfn.SINGLE(calls[Duration])&lt;60,"30 T0 60 MINS",_xlfn.SINGLE(calls[Duration])&lt;120,"1 TO 2 HRS",TRUE,"ABOVE 2 HRS")</f>
        <v>1 TO 2 HRS</v>
      </c>
    </row>
    <row r="597" spans="1:14" x14ac:dyDescent="0.3">
      <c r="A597" t="s">
        <v>631</v>
      </c>
      <c r="B597" t="s">
        <v>18</v>
      </c>
      <c r="C597">
        <v>57</v>
      </c>
      <c r="D597" t="s">
        <v>13</v>
      </c>
      <c r="E597" s="1">
        <v>45112</v>
      </c>
      <c r="F597">
        <v>120</v>
      </c>
      <c r="G597">
        <v>3.5</v>
      </c>
      <c r="H597" t="str">
        <f>TEXT(calls[[#This Row],[Date of Call]],"DDDD")</f>
        <v>Wednesday</v>
      </c>
      <c r="I597">
        <f>ROUND(calls[[#This Row],[Satisfaction Rating]],0)</f>
        <v>4</v>
      </c>
      <c r="N597" t="str" cm="1">
        <f t="array" ref="N597">_xlfn.IFS(_xlfn.SINGLE(calls[Duration])&lt;30,"UNDER 30 MINS",_xlfn.SINGLE(calls[Duration])&lt;60,"30 T0 60 MINS",_xlfn.SINGLE(calls[Duration])&lt;120,"1 TO 2 HRS",TRUE,"ABOVE 2 HRS")</f>
        <v>30 T0 60 MINS</v>
      </c>
    </row>
    <row r="598" spans="1:14" x14ac:dyDescent="0.3">
      <c r="A598" t="s">
        <v>632</v>
      </c>
      <c r="B598" t="s">
        <v>41</v>
      </c>
      <c r="C598">
        <v>68</v>
      </c>
      <c r="D598" t="s">
        <v>36</v>
      </c>
      <c r="E598" s="1">
        <v>45112</v>
      </c>
      <c r="F598">
        <v>41</v>
      </c>
      <c r="G598">
        <v>3.1</v>
      </c>
      <c r="H598" t="str">
        <f>TEXT(calls[[#This Row],[Date of Call]],"DDDD")</f>
        <v>Wednesday</v>
      </c>
      <c r="I598">
        <f>ROUND(calls[[#This Row],[Satisfaction Rating]],0)</f>
        <v>3</v>
      </c>
      <c r="N598" t="str" cm="1">
        <f t="array" ref="N598">_xlfn.IFS(_xlfn.SINGLE(calls[Duration])&lt;30,"UNDER 30 MINS",_xlfn.SINGLE(calls[Duration])&lt;60,"30 T0 60 MINS",_xlfn.SINGLE(calls[Duration])&lt;120,"1 TO 2 HRS",TRUE,"ABOVE 2 HRS")</f>
        <v>1 TO 2 HRS</v>
      </c>
    </row>
    <row r="599" spans="1:14" x14ac:dyDescent="0.3">
      <c r="A599" t="s">
        <v>633</v>
      </c>
      <c r="B599" t="s">
        <v>28</v>
      </c>
      <c r="C599">
        <v>128</v>
      </c>
      <c r="D599" t="s">
        <v>36</v>
      </c>
      <c r="E599" s="1">
        <v>45112</v>
      </c>
      <c r="F599">
        <v>116</v>
      </c>
      <c r="G599">
        <v>2.2999999999999998</v>
      </c>
      <c r="H599" t="str">
        <f>TEXT(calls[[#This Row],[Date of Call]],"DDDD")</f>
        <v>Wednesday</v>
      </c>
      <c r="I599">
        <f>ROUND(calls[[#This Row],[Satisfaction Rating]],0)</f>
        <v>2</v>
      </c>
      <c r="N599" t="str" cm="1">
        <f t="array" ref="N599">_xlfn.IFS(_xlfn.SINGLE(calls[Duration])&lt;30,"UNDER 30 MINS",_xlfn.SINGLE(calls[Duration])&lt;60,"30 T0 60 MINS",_xlfn.SINGLE(calls[Duration])&lt;120,"1 TO 2 HRS",TRUE,"ABOVE 2 HRS")</f>
        <v>ABOVE 2 HRS</v>
      </c>
    </row>
    <row r="600" spans="1:14" x14ac:dyDescent="0.3">
      <c r="A600" t="s">
        <v>634</v>
      </c>
      <c r="B600" t="s">
        <v>12</v>
      </c>
      <c r="C600">
        <v>102</v>
      </c>
      <c r="D600" t="s">
        <v>13</v>
      </c>
      <c r="E600" s="1">
        <v>45113</v>
      </c>
      <c r="F600">
        <v>70</v>
      </c>
      <c r="G600">
        <v>2.8</v>
      </c>
      <c r="H600" t="str">
        <f>TEXT(calls[[#This Row],[Date of Call]],"DDDD")</f>
        <v>Thursday</v>
      </c>
      <c r="I600">
        <f>ROUND(calls[[#This Row],[Satisfaction Rating]],0)</f>
        <v>3</v>
      </c>
      <c r="N600" t="str" cm="1">
        <f t="array" ref="N600">_xlfn.IFS(_xlfn.SINGLE(calls[Duration])&lt;30,"UNDER 30 MINS",_xlfn.SINGLE(calls[Duration])&lt;60,"30 T0 60 MINS",_xlfn.SINGLE(calls[Duration])&lt;120,"1 TO 2 HRS",TRUE,"ABOVE 2 HRS")</f>
        <v>1 TO 2 HRS</v>
      </c>
    </row>
    <row r="601" spans="1:14" x14ac:dyDescent="0.3">
      <c r="A601" t="s">
        <v>635</v>
      </c>
      <c r="B601" t="s">
        <v>31</v>
      </c>
      <c r="C601">
        <v>52</v>
      </c>
      <c r="D601" t="s">
        <v>29</v>
      </c>
      <c r="E601" s="1">
        <v>45113</v>
      </c>
      <c r="F601">
        <v>42</v>
      </c>
      <c r="G601">
        <v>4.5</v>
      </c>
      <c r="H601" t="str">
        <f>TEXT(calls[[#This Row],[Date of Call]],"DDDD")</f>
        <v>Thursday</v>
      </c>
      <c r="I601">
        <f>ROUND(calls[[#This Row],[Satisfaction Rating]],0)</f>
        <v>5</v>
      </c>
      <c r="N601" t="str" cm="1">
        <f t="array" ref="N601">_xlfn.IFS(_xlfn.SINGLE(calls[Duration])&lt;30,"UNDER 30 MINS",_xlfn.SINGLE(calls[Duration])&lt;60,"30 T0 60 MINS",_xlfn.SINGLE(calls[Duration])&lt;120,"1 TO 2 HRS",TRUE,"ABOVE 2 HRS")</f>
        <v>30 T0 60 MINS</v>
      </c>
    </row>
    <row r="602" spans="1:14" x14ac:dyDescent="0.3">
      <c r="A602" t="s">
        <v>636</v>
      </c>
      <c r="B602" t="s">
        <v>28</v>
      </c>
      <c r="C602">
        <v>55</v>
      </c>
      <c r="D602" t="s">
        <v>23</v>
      </c>
      <c r="E602" s="1">
        <v>45114</v>
      </c>
      <c r="F602">
        <v>112</v>
      </c>
      <c r="G602">
        <v>4.5</v>
      </c>
      <c r="H602" t="str">
        <f>TEXT(calls[[#This Row],[Date of Call]],"DDDD")</f>
        <v>Friday</v>
      </c>
      <c r="I602">
        <f>ROUND(calls[[#This Row],[Satisfaction Rating]],0)</f>
        <v>5</v>
      </c>
      <c r="N602" t="str" cm="1">
        <f t="array" ref="N602">_xlfn.IFS(_xlfn.SINGLE(calls[Duration])&lt;30,"UNDER 30 MINS",_xlfn.SINGLE(calls[Duration])&lt;60,"30 T0 60 MINS",_xlfn.SINGLE(calls[Duration])&lt;120,"1 TO 2 HRS",TRUE,"ABOVE 2 HRS")</f>
        <v>30 T0 60 MINS</v>
      </c>
    </row>
    <row r="603" spans="1:14" x14ac:dyDescent="0.3">
      <c r="A603" t="s">
        <v>637</v>
      </c>
      <c r="B603" t="s">
        <v>26</v>
      </c>
      <c r="C603">
        <v>107</v>
      </c>
      <c r="D603" t="s">
        <v>36</v>
      </c>
      <c r="E603" s="1">
        <v>45114</v>
      </c>
      <c r="F603">
        <v>20</v>
      </c>
      <c r="G603">
        <v>4.5</v>
      </c>
      <c r="H603" t="str">
        <f>TEXT(calls[[#This Row],[Date of Call]],"DDDD")</f>
        <v>Friday</v>
      </c>
      <c r="I603">
        <f>ROUND(calls[[#This Row],[Satisfaction Rating]],0)</f>
        <v>5</v>
      </c>
      <c r="N603" t="str" cm="1">
        <f t="array" ref="N603">_xlfn.IFS(_xlfn.SINGLE(calls[Duration])&lt;30,"UNDER 30 MINS",_xlfn.SINGLE(calls[Duration])&lt;60,"30 T0 60 MINS",_xlfn.SINGLE(calls[Duration])&lt;120,"1 TO 2 HRS",TRUE,"ABOVE 2 HRS")</f>
        <v>1 TO 2 HRS</v>
      </c>
    </row>
    <row r="604" spans="1:14" x14ac:dyDescent="0.3">
      <c r="A604" t="s">
        <v>638</v>
      </c>
      <c r="B604" t="s">
        <v>19</v>
      </c>
      <c r="C604">
        <v>88</v>
      </c>
      <c r="D604" t="s">
        <v>29</v>
      </c>
      <c r="E604" s="1">
        <v>45115</v>
      </c>
      <c r="F604">
        <v>110</v>
      </c>
      <c r="G604">
        <v>4.8</v>
      </c>
      <c r="H604" t="str">
        <f>TEXT(calls[[#This Row],[Date of Call]],"DDDD")</f>
        <v>Saturday</v>
      </c>
      <c r="I604">
        <f>ROUND(calls[[#This Row],[Satisfaction Rating]],0)</f>
        <v>5</v>
      </c>
      <c r="N604" t="str" cm="1">
        <f t="array" ref="N604">_xlfn.IFS(_xlfn.SINGLE(calls[Duration])&lt;30,"UNDER 30 MINS",_xlfn.SINGLE(calls[Duration])&lt;60,"30 T0 60 MINS",_xlfn.SINGLE(calls[Duration])&lt;120,"1 TO 2 HRS",TRUE,"ABOVE 2 HRS")</f>
        <v>1 TO 2 HRS</v>
      </c>
    </row>
    <row r="605" spans="1:14" x14ac:dyDescent="0.3">
      <c r="A605" t="s">
        <v>639</v>
      </c>
      <c r="B605" t="s">
        <v>33</v>
      </c>
      <c r="C605">
        <v>49</v>
      </c>
      <c r="D605" t="s">
        <v>29</v>
      </c>
      <c r="E605" s="1">
        <v>45115</v>
      </c>
      <c r="F605">
        <v>39</v>
      </c>
      <c r="G605">
        <v>4.5999999999999996</v>
      </c>
      <c r="H605" t="str">
        <f>TEXT(calls[[#This Row],[Date of Call]],"DDDD")</f>
        <v>Saturday</v>
      </c>
      <c r="I605">
        <f>ROUND(calls[[#This Row],[Satisfaction Rating]],0)</f>
        <v>5</v>
      </c>
      <c r="N605" t="str" cm="1">
        <f t="array" ref="N605">_xlfn.IFS(_xlfn.SINGLE(calls[Duration])&lt;30,"UNDER 30 MINS",_xlfn.SINGLE(calls[Duration])&lt;60,"30 T0 60 MINS",_xlfn.SINGLE(calls[Duration])&lt;120,"1 TO 2 HRS",TRUE,"ABOVE 2 HRS")</f>
        <v>30 T0 60 MINS</v>
      </c>
    </row>
    <row r="606" spans="1:14" x14ac:dyDescent="0.3">
      <c r="A606" t="s">
        <v>640</v>
      </c>
      <c r="B606" t="s">
        <v>19</v>
      </c>
      <c r="C606">
        <v>72</v>
      </c>
      <c r="D606" t="s">
        <v>13</v>
      </c>
      <c r="E606" s="1">
        <v>45115</v>
      </c>
      <c r="F606">
        <v>76</v>
      </c>
      <c r="G606">
        <v>4.5</v>
      </c>
      <c r="H606" t="str">
        <f>TEXT(calls[[#This Row],[Date of Call]],"DDDD")</f>
        <v>Saturday</v>
      </c>
      <c r="I606">
        <f>ROUND(calls[[#This Row],[Satisfaction Rating]],0)</f>
        <v>5</v>
      </c>
      <c r="N606" t="str" cm="1">
        <f t="array" ref="N606">_xlfn.IFS(_xlfn.SINGLE(calls[Duration])&lt;30,"UNDER 30 MINS",_xlfn.SINGLE(calls[Duration])&lt;60,"30 T0 60 MINS",_xlfn.SINGLE(calls[Duration])&lt;120,"1 TO 2 HRS",TRUE,"ABOVE 2 HRS")</f>
        <v>1 TO 2 HRS</v>
      </c>
    </row>
    <row r="607" spans="1:14" x14ac:dyDescent="0.3">
      <c r="A607" t="s">
        <v>641</v>
      </c>
      <c r="B607" t="s">
        <v>18</v>
      </c>
      <c r="C607">
        <v>50</v>
      </c>
      <c r="D607" t="s">
        <v>13</v>
      </c>
      <c r="E607" s="1">
        <v>45115</v>
      </c>
      <c r="F607">
        <v>40</v>
      </c>
      <c r="G607">
        <v>5</v>
      </c>
      <c r="H607" t="str">
        <f>TEXT(calls[[#This Row],[Date of Call]],"DDDD")</f>
        <v>Saturday</v>
      </c>
      <c r="I607">
        <f>ROUND(calls[[#This Row],[Satisfaction Rating]],0)</f>
        <v>5</v>
      </c>
      <c r="N607" t="str" cm="1">
        <f t="array" ref="N607">_xlfn.IFS(_xlfn.SINGLE(calls[Duration])&lt;30,"UNDER 30 MINS",_xlfn.SINGLE(calls[Duration])&lt;60,"30 T0 60 MINS",_xlfn.SINGLE(calls[Duration])&lt;120,"1 TO 2 HRS",TRUE,"ABOVE 2 HRS")</f>
        <v>30 T0 60 MINS</v>
      </c>
    </row>
    <row r="608" spans="1:14" x14ac:dyDescent="0.3">
      <c r="A608" t="s">
        <v>642</v>
      </c>
      <c r="B608" t="s">
        <v>19</v>
      </c>
      <c r="C608">
        <v>52</v>
      </c>
      <c r="D608" t="s">
        <v>36</v>
      </c>
      <c r="E608" s="1">
        <v>45115</v>
      </c>
      <c r="F608">
        <v>42</v>
      </c>
      <c r="G608">
        <v>4.8</v>
      </c>
      <c r="H608" t="str">
        <f>TEXT(calls[[#This Row],[Date of Call]],"DDDD")</f>
        <v>Saturday</v>
      </c>
      <c r="I608">
        <f>ROUND(calls[[#This Row],[Satisfaction Rating]],0)</f>
        <v>5</v>
      </c>
      <c r="N608" t="str" cm="1">
        <f t="array" ref="N608">_xlfn.IFS(_xlfn.SINGLE(calls[Duration])&lt;30,"UNDER 30 MINS",_xlfn.SINGLE(calls[Duration])&lt;60,"30 T0 60 MINS",_xlfn.SINGLE(calls[Duration])&lt;120,"1 TO 2 HRS",TRUE,"ABOVE 2 HRS")</f>
        <v>30 T0 60 MINS</v>
      </c>
    </row>
    <row r="609" spans="1:14" x14ac:dyDescent="0.3">
      <c r="A609" t="s">
        <v>643</v>
      </c>
      <c r="B609" t="s">
        <v>22</v>
      </c>
      <c r="C609">
        <v>85</v>
      </c>
      <c r="D609" t="s">
        <v>42</v>
      </c>
      <c r="E609" s="1">
        <v>45116</v>
      </c>
      <c r="F609">
        <v>215</v>
      </c>
      <c r="G609">
        <v>3.5</v>
      </c>
      <c r="H609" t="str">
        <f>TEXT(calls[[#This Row],[Date of Call]],"DDDD")</f>
        <v>Sunday</v>
      </c>
      <c r="I609">
        <f>ROUND(calls[[#This Row],[Satisfaction Rating]],0)</f>
        <v>4</v>
      </c>
      <c r="N609" t="str" cm="1">
        <f t="array" ref="N609">_xlfn.IFS(_xlfn.SINGLE(calls[Duration])&lt;30,"UNDER 30 MINS",_xlfn.SINGLE(calls[Duration])&lt;60,"30 T0 60 MINS",_xlfn.SINGLE(calls[Duration])&lt;120,"1 TO 2 HRS",TRUE,"ABOVE 2 HRS")</f>
        <v>1 TO 2 HRS</v>
      </c>
    </row>
    <row r="610" spans="1:14" x14ac:dyDescent="0.3">
      <c r="A610" t="s">
        <v>644</v>
      </c>
      <c r="B610" t="s">
        <v>39</v>
      </c>
      <c r="C610">
        <v>98</v>
      </c>
      <c r="D610" t="s">
        <v>42</v>
      </c>
      <c r="E610" s="1">
        <v>45117</v>
      </c>
      <c r="F610">
        <v>130</v>
      </c>
      <c r="G610">
        <v>3.4</v>
      </c>
      <c r="H610" t="str">
        <f>TEXT(calls[[#This Row],[Date of Call]],"DDDD")</f>
        <v>Monday</v>
      </c>
      <c r="I610">
        <f>ROUND(calls[[#This Row],[Satisfaction Rating]],0)</f>
        <v>3</v>
      </c>
      <c r="N610" t="str" cm="1">
        <f t="array" ref="N610">_xlfn.IFS(_xlfn.SINGLE(calls[Duration])&lt;30,"UNDER 30 MINS",_xlfn.SINGLE(calls[Duration])&lt;60,"30 T0 60 MINS",_xlfn.SINGLE(calls[Duration])&lt;120,"1 TO 2 HRS",TRUE,"ABOVE 2 HRS")</f>
        <v>1 TO 2 HRS</v>
      </c>
    </row>
    <row r="611" spans="1:14" x14ac:dyDescent="0.3">
      <c r="A611" t="s">
        <v>645</v>
      </c>
      <c r="B611" t="s">
        <v>50</v>
      </c>
      <c r="C611">
        <v>52</v>
      </c>
      <c r="D611" t="s">
        <v>42</v>
      </c>
      <c r="E611" s="1">
        <v>45117</v>
      </c>
      <c r="F611">
        <v>190</v>
      </c>
      <c r="G611">
        <v>3.3</v>
      </c>
      <c r="H611" t="str">
        <f>TEXT(calls[[#This Row],[Date of Call]],"DDDD")</f>
        <v>Monday</v>
      </c>
      <c r="I611">
        <f>ROUND(calls[[#This Row],[Satisfaction Rating]],0)</f>
        <v>3</v>
      </c>
      <c r="N611" t="str" cm="1">
        <f t="array" ref="N611">_xlfn.IFS(_xlfn.SINGLE(calls[Duration])&lt;30,"UNDER 30 MINS",_xlfn.SINGLE(calls[Duration])&lt;60,"30 T0 60 MINS",_xlfn.SINGLE(calls[Duration])&lt;120,"1 TO 2 HRS",TRUE,"ABOVE 2 HRS")</f>
        <v>30 T0 60 MINS</v>
      </c>
    </row>
    <row r="612" spans="1:14" x14ac:dyDescent="0.3">
      <c r="A612" t="s">
        <v>646</v>
      </c>
      <c r="B612" t="s">
        <v>28</v>
      </c>
      <c r="C612">
        <v>154</v>
      </c>
      <c r="D612" t="s">
        <v>29</v>
      </c>
      <c r="E612" s="1">
        <v>45117</v>
      </c>
      <c r="F612">
        <v>164</v>
      </c>
      <c r="G612">
        <v>4.9000000000000004</v>
      </c>
      <c r="H612" t="str">
        <f>TEXT(calls[[#This Row],[Date of Call]],"DDDD")</f>
        <v>Monday</v>
      </c>
      <c r="I612">
        <f>ROUND(calls[[#This Row],[Satisfaction Rating]],0)</f>
        <v>5</v>
      </c>
      <c r="N612" t="str" cm="1">
        <f t="array" ref="N612">_xlfn.IFS(_xlfn.SINGLE(calls[Duration])&lt;30,"UNDER 30 MINS",_xlfn.SINGLE(calls[Duration])&lt;60,"30 T0 60 MINS",_xlfn.SINGLE(calls[Duration])&lt;120,"1 TO 2 HRS",TRUE,"ABOVE 2 HRS")</f>
        <v>ABOVE 2 HRS</v>
      </c>
    </row>
    <row r="613" spans="1:14" x14ac:dyDescent="0.3">
      <c r="A613" t="s">
        <v>647</v>
      </c>
      <c r="B613" t="s">
        <v>37</v>
      </c>
      <c r="C613">
        <v>131</v>
      </c>
      <c r="D613" t="s">
        <v>23</v>
      </c>
      <c r="E613" s="1">
        <v>45118</v>
      </c>
      <c r="F613">
        <v>76</v>
      </c>
      <c r="G613">
        <v>4.5</v>
      </c>
      <c r="H613" t="str">
        <f>TEXT(calls[[#This Row],[Date of Call]],"DDDD")</f>
        <v>Tuesday</v>
      </c>
      <c r="I613">
        <f>ROUND(calls[[#This Row],[Satisfaction Rating]],0)</f>
        <v>5</v>
      </c>
      <c r="N613" t="str" cm="1">
        <f t="array" ref="N613">_xlfn.IFS(_xlfn.SINGLE(calls[Duration])&lt;30,"UNDER 30 MINS",_xlfn.SINGLE(calls[Duration])&lt;60,"30 T0 60 MINS",_xlfn.SINGLE(calls[Duration])&lt;120,"1 TO 2 HRS",TRUE,"ABOVE 2 HRS")</f>
        <v>ABOVE 2 HRS</v>
      </c>
    </row>
    <row r="614" spans="1:14" x14ac:dyDescent="0.3">
      <c r="A614" t="s">
        <v>648</v>
      </c>
      <c r="B614" t="s">
        <v>22</v>
      </c>
      <c r="C614">
        <v>73</v>
      </c>
      <c r="D614" t="s">
        <v>23</v>
      </c>
      <c r="E614" s="1">
        <v>45119</v>
      </c>
      <c r="F614">
        <v>87</v>
      </c>
      <c r="G614">
        <v>4.8</v>
      </c>
      <c r="H614" t="str">
        <f>TEXT(calls[[#This Row],[Date of Call]],"DDDD")</f>
        <v>Wednesday</v>
      </c>
      <c r="I614">
        <f>ROUND(calls[[#This Row],[Satisfaction Rating]],0)</f>
        <v>5</v>
      </c>
      <c r="N614" t="str" cm="1">
        <f t="array" ref="N614">_xlfn.IFS(_xlfn.SINGLE(calls[Duration])&lt;30,"UNDER 30 MINS",_xlfn.SINGLE(calls[Duration])&lt;60,"30 T0 60 MINS",_xlfn.SINGLE(calls[Duration])&lt;120,"1 TO 2 HRS",TRUE,"ABOVE 2 HRS")</f>
        <v>1 TO 2 HRS</v>
      </c>
    </row>
    <row r="615" spans="1:14" x14ac:dyDescent="0.3">
      <c r="A615" t="s">
        <v>649</v>
      </c>
      <c r="B615" t="s">
        <v>45</v>
      </c>
      <c r="C615">
        <v>45</v>
      </c>
      <c r="D615" t="s">
        <v>42</v>
      </c>
      <c r="E615" s="1">
        <v>45119</v>
      </c>
      <c r="F615">
        <v>84</v>
      </c>
      <c r="G615">
        <v>4.8</v>
      </c>
      <c r="H615" t="str">
        <f>TEXT(calls[[#This Row],[Date of Call]],"DDDD")</f>
        <v>Wednesday</v>
      </c>
      <c r="I615">
        <f>ROUND(calls[[#This Row],[Satisfaction Rating]],0)</f>
        <v>5</v>
      </c>
      <c r="N615" t="str" cm="1">
        <f t="array" ref="N615">_xlfn.IFS(_xlfn.SINGLE(calls[Duration])&lt;30,"UNDER 30 MINS",_xlfn.SINGLE(calls[Duration])&lt;60,"30 T0 60 MINS",_xlfn.SINGLE(calls[Duration])&lt;120,"1 TO 2 HRS",TRUE,"ABOVE 2 HRS")</f>
        <v>30 T0 60 MINS</v>
      </c>
    </row>
    <row r="616" spans="1:14" x14ac:dyDescent="0.3">
      <c r="A616" t="s">
        <v>650</v>
      </c>
      <c r="B616" t="s">
        <v>31</v>
      </c>
      <c r="C616">
        <v>114</v>
      </c>
      <c r="D616" t="s">
        <v>36</v>
      </c>
      <c r="E616" s="1">
        <v>45119</v>
      </c>
      <c r="F616">
        <v>114</v>
      </c>
      <c r="G616">
        <v>3.9</v>
      </c>
      <c r="H616" t="str">
        <f>TEXT(calls[[#This Row],[Date of Call]],"DDDD")</f>
        <v>Wednesday</v>
      </c>
      <c r="I616">
        <f>ROUND(calls[[#This Row],[Satisfaction Rating]],0)</f>
        <v>4</v>
      </c>
      <c r="N616" t="str" cm="1">
        <f t="array" ref="N616">_xlfn.IFS(_xlfn.SINGLE(calls[Duration])&lt;30,"UNDER 30 MINS",_xlfn.SINGLE(calls[Duration])&lt;60,"30 T0 60 MINS",_xlfn.SINGLE(calls[Duration])&lt;120,"1 TO 2 HRS",TRUE,"ABOVE 2 HRS")</f>
        <v>1 TO 2 HRS</v>
      </c>
    </row>
    <row r="617" spans="1:14" x14ac:dyDescent="0.3">
      <c r="A617" t="s">
        <v>651</v>
      </c>
      <c r="B617" t="s">
        <v>39</v>
      </c>
      <c r="C617">
        <v>69</v>
      </c>
      <c r="D617" t="s">
        <v>23</v>
      </c>
      <c r="E617" s="1">
        <v>45120</v>
      </c>
      <c r="F617">
        <v>56</v>
      </c>
      <c r="G617">
        <v>3.9</v>
      </c>
      <c r="H617" t="str">
        <f>TEXT(calls[[#This Row],[Date of Call]],"DDDD")</f>
        <v>Thursday</v>
      </c>
      <c r="I617">
        <f>ROUND(calls[[#This Row],[Satisfaction Rating]],0)</f>
        <v>4</v>
      </c>
      <c r="N617" t="str" cm="1">
        <f t="array" ref="N617">_xlfn.IFS(_xlfn.SINGLE(calls[Duration])&lt;30,"UNDER 30 MINS",_xlfn.SINGLE(calls[Duration])&lt;60,"30 T0 60 MINS",_xlfn.SINGLE(calls[Duration])&lt;120,"1 TO 2 HRS",TRUE,"ABOVE 2 HRS")</f>
        <v>1 TO 2 HRS</v>
      </c>
    </row>
    <row r="618" spans="1:14" x14ac:dyDescent="0.3">
      <c r="A618" t="s">
        <v>652</v>
      </c>
      <c r="B618" t="s">
        <v>37</v>
      </c>
      <c r="C618">
        <v>33</v>
      </c>
      <c r="D618" t="s">
        <v>29</v>
      </c>
      <c r="E618" s="1">
        <v>45120</v>
      </c>
      <c r="F618">
        <v>27</v>
      </c>
      <c r="G618">
        <v>3.7</v>
      </c>
      <c r="H618" t="str">
        <f>TEXT(calls[[#This Row],[Date of Call]],"DDDD")</f>
        <v>Thursday</v>
      </c>
      <c r="I618">
        <f>ROUND(calls[[#This Row],[Satisfaction Rating]],0)</f>
        <v>4</v>
      </c>
      <c r="N618" t="str" cm="1">
        <f t="array" ref="N618">_xlfn.IFS(_xlfn.SINGLE(calls[Duration])&lt;30,"UNDER 30 MINS",_xlfn.SINGLE(calls[Duration])&lt;60,"30 T0 60 MINS",_xlfn.SINGLE(calls[Duration])&lt;120,"1 TO 2 HRS",TRUE,"ABOVE 2 HRS")</f>
        <v>30 T0 60 MINS</v>
      </c>
    </row>
    <row r="619" spans="1:14" x14ac:dyDescent="0.3">
      <c r="A619" t="s">
        <v>653</v>
      </c>
      <c r="B619" t="s">
        <v>18</v>
      </c>
      <c r="C619">
        <v>31</v>
      </c>
      <c r="D619" t="s">
        <v>13</v>
      </c>
      <c r="E619" s="1">
        <v>45121</v>
      </c>
      <c r="F619">
        <v>84</v>
      </c>
      <c r="G619">
        <v>4.8</v>
      </c>
      <c r="H619" t="str">
        <f>TEXT(calls[[#This Row],[Date of Call]],"DDDD")</f>
        <v>Friday</v>
      </c>
      <c r="I619">
        <f>ROUND(calls[[#This Row],[Satisfaction Rating]],0)</f>
        <v>5</v>
      </c>
      <c r="N619" t="str" cm="1">
        <f t="array" ref="N619">_xlfn.IFS(_xlfn.SINGLE(calls[Duration])&lt;30,"UNDER 30 MINS",_xlfn.SINGLE(calls[Duration])&lt;60,"30 T0 60 MINS",_xlfn.SINGLE(calls[Duration])&lt;120,"1 TO 2 HRS",TRUE,"ABOVE 2 HRS")</f>
        <v>30 T0 60 MINS</v>
      </c>
    </row>
    <row r="620" spans="1:14" x14ac:dyDescent="0.3">
      <c r="A620" t="s">
        <v>654</v>
      </c>
      <c r="B620" t="s">
        <v>45</v>
      </c>
      <c r="C620">
        <v>168</v>
      </c>
      <c r="D620" t="s">
        <v>29</v>
      </c>
      <c r="E620" s="1">
        <v>45121</v>
      </c>
      <c r="F620">
        <v>72</v>
      </c>
      <c r="G620">
        <v>3.5</v>
      </c>
      <c r="H620" t="str">
        <f>TEXT(calls[[#This Row],[Date of Call]],"DDDD")</f>
        <v>Friday</v>
      </c>
      <c r="I620">
        <f>ROUND(calls[[#This Row],[Satisfaction Rating]],0)</f>
        <v>4</v>
      </c>
      <c r="N620" t="str" cm="1">
        <f t="array" ref="N620">_xlfn.IFS(_xlfn.SINGLE(calls[Duration])&lt;30,"UNDER 30 MINS",_xlfn.SINGLE(calls[Duration])&lt;60,"30 T0 60 MINS",_xlfn.SINGLE(calls[Duration])&lt;120,"1 TO 2 HRS",TRUE,"ABOVE 2 HRS")</f>
        <v>ABOVE 2 HRS</v>
      </c>
    </row>
    <row r="621" spans="1:14" x14ac:dyDescent="0.3">
      <c r="A621" t="s">
        <v>655</v>
      </c>
      <c r="B621" t="s">
        <v>22</v>
      </c>
      <c r="C621">
        <v>111</v>
      </c>
      <c r="D621" t="s">
        <v>36</v>
      </c>
      <c r="E621" s="1">
        <v>45122</v>
      </c>
      <c r="F621">
        <v>126</v>
      </c>
      <c r="G621">
        <v>4.2</v>
      </c>
      <c r="H621" t="str">
        <f>TEXT(calls[[#This Row],[Date of Call]],"DDDD")</f>
        <v>Saturday</v>
      </c>
      <c r="I621">
        <f>ROUND(calls[[#This Row],[Satisfaction Rating]],0)</f>
        <v>4</v>
      </c>
      <c r="N621" t="str" cm="1">
        <f t="array" ref="N621">_xlfn.IFS(_xlfn.SINGLE(calls[Duration])&lt;30,"UNDER 30 MINS",_xlfn.SINGLE(calls[Duration])&lt;60,"30 T0 60 MINS",_xlfn.SINGLE(calls[Duration])&lt;120,"1 TO 2 HRS",TRUE,"ABOVE 2 HRS")</f>
        <v>1 TO 2 HRS</v>
      </c>
    </row>
    <row r="622" spans="1:14" x14ac:dyDescent="0.3">
      <c r="A622" t="s">
        <v>656</v>
      </c>
      <c r="B622" t="s">
        <v>18</v>
      </c>
      <c r="C622">
        <v>80</v>
      </c>
      <c r="D622" t="s">
        <v>29</v>
      </c>
      <c r="E622" s="1">
        <v>45123</v>
      </c>
      <c r="F622">
        <v>88</v>
      </c>
      <c r="G622">
        <v>4.9000000000000004</v>
      </c>
      <c r="H622" t="str">
        <f>TEXT(calls[[#This Row],[Date of Call]],"DDDD")</f>
        <v>Sunday</v>
      </c>
      <c r="I622">
        <f>ROUND(calls[[#This Row],[Satisfaction Rating]],0)</f>
        <v>5</v>
      </c>
      <c r="N622" t="str" cm="1">
        <f t="array" ref="N622">_xlfn.IFS(_xlfn.SINGLE(calls[Duration])&lt;30,"UNDER 30 MINS",_xlfn.SINGLE(calls[Duration])&lt;60,"30 T0 60 MINS",_xlfn.SINGLE(calls[Duration])&lt;120,"1 TO 2 HRS",TRUE,"ABOVE 2 HRS")</f>
        <v>1 TO 2 HRS</v>
      </c>
    </row>
    <row r="623" spans="1:14" x14ac:dyDescent="0.3">
      <c r="A623" t="s">
        <v>657</v>
      </c>
      <c r="B623" t="s">
        <v>12</v>
      </c>
      <c r="C623">
        <v>37</v>
      </c>
      <c r="D623" t="s">
        <v>29</v>
      </c>
      <c r="E623" s="1">
        <v>45123</v>
      </c>
      <c r="F623">
        <v>124</v>
      </c>
      <c r="G623">
        <v>4.5999999999999996</v>
      </c>
      <c r="H623" t="str">
        <f>TEXT(calls[[#This Row],[Date of Call]],"DDDD")</f>
        <v>Sunday</v>
      </c>
      <c r="I623">
        <f>ROUND(calls[[#This Row],[Satisfaction Rating]],0)</f>
        <v>5</v>
      </c>
      <c r="N623" t="str" cm="1">
        <f t="array" ref="N623">_xlfn.IFS(_xlfn.SINGLE(calls[Duration])&lt;30,"UNDER 30 MINS",_xlfn.SINGLE(calls[Duration])&lt;60,"30 T0 60 MINS",_xlfn.SINGLE(calls[Duration])&lt;120,"1 TO 2 HRS",TRUE,"ABOVE 2 HRS")</f>
        <v>30 T0 60 MINS</v>
      </c>
    </row>
    <row r="624" spans="1:14" x14ac:dyDescent="0.3">
      <c r="A624" t="s">
        <v>658</v>
      </c>
      <c r="B624" t="s">
        <v>14</v>
      </c>
      <c r="C624">
        <v>137</v>
      </c>
      <c r="D624" t="s">
        <v>29</v>
      </c>
      <c r="E624" s="1">
        <v>45124</v>
      </c>
      <c r="F624">
        <v>84</v>
      </c>
      <c r="G624">
        <v>2.6</v>
      </c>
      <c r="H624" t="str">
        <f>TEXT(calls[[#This Row],[Date of Call]],"DDDD")</f>
        <v>Monday</v>
      </c>
      <c r="I624">
        <f>ROUND(calls[[#This Row],[Satisfaction Rating]],0)</f>
        <v>3</v>
      </c>
      <c r="N624" t="str" cm="1">
        <f t="array" ref="N624">_xlfn.IFS(_xlfn.SINGLE(calls[Duration])&lt;30,"UNDER 30 MINS",_xlfn.SINGLE(calls[Duration])&lt;60,"30 T0 60 MINS",_xlfn.SINGLE(calls[Duration])&lt;120,"1 TO 2 HRS",TRUE,"ABOVE 2 HRS")</f>
        <v>ABOVE 2 HRS</v>
      </c>
    </row>
    <row r="625" spans="1:14" x14ac:dyDescent="0.3">
      <c r="A625" t="s">
        <v>659</v>
      </c>
      <c r="B625" t="s">
        <v>39</v>
      </c>
      <c r="C625">
        <v>123</v>
      </c>
      <c r="D625" t="s">
        <v>36</v>
      </c>
      <c r="E625" s="1">
        <v>45124</v>
      </c>
      <c r="F625">
        <v>80</v>
      </c>
      <c r="G625">
        <v>2.7</v>
      </c>
      <c r="H625" t="str">
        <f>TEXT(calls[[#This Row],[Date of Call]],"DDDD")</f>
        <v>Monday</v>
      </c>
      <c r="I625">
        <f>ROUND(calls[[#This Row],[Satisfaction Rating]],0)</f>
        <v>3</v>
      </c>
      <c r="N625" t="str" cm="1">
        <f t="array" ref="N625">_xlfn.IFS(_xlfn.SINGLE(calls[Duration])&lt;30,"UNDER 30 MINS",_xlfn.SINGLE(calls[Duration])&lt;60,"30 T0 60 MINS",_xlfn.SINGLE(calls[Duration])&lt;120,"1 TO 2 HRS",TRUE,"ABOVE 2 HRS")</f>
        <v>ABOVE 2 HRS</v>
      </c>
    </row>
    <row r="626" spans="1:14" x14ac:dyDescent="0.3">
      <c r="A626" t="s">
        <v>660</v>
      </c>
      <c r="B626" t="s">
        <v>46</v>
      </c>
      <c r="C626">
        <v>105</v>
      </c>
      <c r="D626" t="s">
        <v>36</v>
      </c>
      <c r="E626" s="1">
        <v>45125</v>
      </c>
      <c r="F626">
        <v>176</v>
      </c>
      <c r="G626">
        <v>4.7</v>
      </c>
      <c r="H626" t="str">
        <f>TEXT(calls[[#This Row],[Date of Call]],"DDDD")</f>
        <v>Tuesday</v>
      </c>
      <c r="I626">
        <f>ROUND(calls[[#This Row],[Satisfaction Rating]],0)</f>
        <v>5</v>
      </c>
      <c r="N626" t="str" cm="1">
        <f t="array" ref="N626">_xlfn.IFS(_xlfn.SINGLE(calls[Duration])&lt;30,"UNDER 30 MINS",_xlfn.SINGLE(calls[Duration])&lt;60,"30 T0 60 MINS",_xlfn.SINGLE(calls[Duration])&lt;120,"1 TO 2 HRS",TRUE,"ABOVE 2 HRS")</f>
        <v>1 TO 2 HRS</v>
      </c>
    </row>
    <row r="627" spans="1:14" x14ac:dyDescent="0.3">
      <c r="A627" t="s">
        <v>661</v>
      </c>
      <c r="B627" t="s">
        <v>12</v>
      </c>
      <c r="C627">
        <v>76</v>
      </c>
      <c r="D627" t="s">
        <v>42</v>
      </c>
      <c r="E627" s="1">
        <v>45126</v>
      </c>
      <c r="F627">
        <v>84</v>
      </c>
      <c r="G627">
        <v>3.9</v>
      </c>
      <c r="H627" t="str">
        <f>TEXT(calls[[#This Row],[Date of Call]],"DDDD")</f>
        <v>Wednesday</v>
      </c>
      <c r="I627">
        <f>ROUND(calls[[#This Row],[Satisfaction Rating]],0)</f>
        <v>4</v>
      </c>
      <c r="N627" t="str" cm="1">
        <f t="array" ref="N627">_xlfn.IFS(_xlfn.SINGLE(calls[Duration])&lt;30,"UNDER 30 MINS",_xlfn.SINGLE(calls[Duration])&lt;60,"30 T0 60 MINS",_xlfn.SINGLE(calls[Duration])&lt;120,"1 TO 2 HRS",TRUE,"ABOVE 2 HRS")</f>
        <v>1 TO 2 HRS</v>
      </c>
    </row>
    <row r="628" spans="1:14" x14ac:dyDescent="0.3">
      <c r="A628" t="s">
        <v>662</v>
      </c>
      <c r="B628" t="s">
        <v>18</v>
      </c>
      <c r="C628">
        <v>144</v>
      </c>
      <c r="D628" t="s">
        <v>42</v>
      </c>
      <c r="E628" s="1">
        <v>45126</v>
      </c>
      <c r="F628">
        <v>164</v>
      </c>
      <c r="G628">
        <v>2.8</v>
      </c>
      <c r="H628" t="str">
        <f>TEXT(calls[[#This Row],[Date of Call]],"DDDD")</f>
        <v>Wednesday</v>
      </c>
      <c r="I628">
        <f>ROUND(calls[[#This Row],[Satisfaction Rating]],0)</f>
        <v>3</v>
      </c>
      <c r="N628" t="str" cm="1">
        <f t="array" ref="N628">_xlfn.IFS(_xlfn.SINGLE(calls[Duration])&lt;30,"UNDER 30 MINS",_xlfn.SINGLE(calls[Duration])&lt;60,"30 T0 60 MINS",_xlfn.SINGLE(calls[Duration])&lt;120,"1 TO 2 HRS",TRUE,"ABOVE 2 HRS")</f>
        <v>ABOVE 2 HRS</v>
      </c>
    </row>
    <row r="629" spans="1:14" x14ac:dyDescent="0.3">
      <c r="A629" t="s">
        <v>663</v>
      </c>
      <c r="B629" t="s">
        <v>37</v>
      </c>
      <c r="C629">
        <v>109</v>
      </c>
      <c r="D629" t="s">
        <v>13</v>
      </c>
      <c r="E629" s="1">
        <v>45126</v>
      </c>
      <c r="F629">
        <v>132</v>
      </c>
      <c r="G629">
        <v>3.1</v>
      </c>
      <c r="H629" t="str">
        <f>TEXT(calls[[#This Row],[Date of Call]],"DDDD")</f>
        <v>Wednesday</v>
      </c>
      <c r="I629">
        <f>ROUND(calls[[#This Row],[Satisfaction Rating]],0)</f>
        <v>3</v>
      </c>
      <c r="N629" t="str" cm="1">
        <f t="array" ref="N629">_xlfn.IFS(_xlfn.SINGLE(calls[Duration])&lt;30,"UNDER 30 MINS",_xlfn.SINGLE(calls[Duration])&lt;60,"30 T0 60 MINS",_xlfn.SINGLE(calls[Duration])&lt;120,"1 TO 2 HRS",TRUE,"ABOVE 2 HRS")</f>
        <v>1 TO 2 HRS</v>
      </c>
    </row>
    <row r="630" spans="1:14" x14ac:dyDescent="0.3">
      <c r="A630" t="s">
        <v>664</v>
      </c>
      <c r="B630" t="s">
        <v>39</v>
      </c>
      <c r="C630">
        <v>172</v>
      </c>
      <c r="D630" t="s">
        <v>29</v>
      </c>
      <c r="E630" s="1">
        <v>45127</v>
      </c>
      <c r="F630">
        <v>27</v>
      </c>
      <c r="G630">
        <v>4.2</v>
      </c>
      <c r="H630" t="str">
        <f>TEXT(calls[[#This Row],[Date of Call]],"DDDD")</f>
        <v>Thursday</v>
      </c>
      <c r="I630">
        <f>ROUND(calls[[#This Row],[Satisfaction Rating]],0)</f>
        <v>4</v>
      </c>
      <c r="N630" t="str" cm="1">
        <f t="array" ref="N630">_xlfn.IFS(_xlfn.SINGLE(calls[Duration])&lt;30,"UNDER 30 MINS",_xlfn.SINGLE(calls[Duration])&lt;60,"30 T0 60 MINS",_xlfn.SINGLE(calls[Duration])&lt;120,"1 TO 2 HRS",TRUE,"ABOVE 2 HRS")</f>
        <v>ABOVE 2 HRS</v>
      </c>
    </row>
    <row r="631" spans="1:14" x14ac:dyDescent="0.3">
      <c r="A631" t="s">
        <v>665</v>
      </c>
      <c r="B631" t="s">
        <v>18</v>
      </c>
      <c r="C631">
        <v>56</v>
      </c>
      <c r="D631" t="s">
        <v>36</v>
      </c>
      <c r="E631" s="1">
        <v>45127</v>
      </c>
      <c r="F631">
        <v>27</v>
      </c>
      <c r="G631">
        <v>4.3</v>
      </c>
      <c r="H631" t="str">
        <f>TEXT(calls[[#This Row],[Date of Call]],"DDDD")</f>
        <v>Thursday</v>
      </c>
      <c r="I631">
        <f>ROUND(calls[[#This Row],[Satisfaction Rating]],0)</f>
        <v>4</v>
      </c>
      <c r="N631" t="str" cm="1">
        <f t="array" ref="N631">_xlfn.IFS(_xlfn.SINGLE(calls[Duration])&lt;30,"UNDER 30 MINS",_xlfn.SINGLE(calls[Duration])&lt;60,"30 T0 60 MINS",_xlfn.SINGLE(calls[Duration])&lt;120,"1 TO 2 HRS",TRUE,"ABOVE 2 HRS")</f>
        <v>30 T0 60 MINS</v>
      </c>
    </row>
    <row r="632" spans="1:14" x14ac:dyDescent="0.3">
      <c r="A632" t="s">
        <v>666</v>
      </c>
      <c r="B632" t="s">
        <v>18</v>
      </c>
      <c r="C632">
        <v>121</v>
      </c>
      <c r="D632" t="s">
        <v>23</v>
      </c>
      <c r="E632" s="1">
        <v>45127</v>
      </c>
      <c r="F632">
        <v>20</v>
      </c>
      <c r="G632">
        <v>2.7</v>
      </c>
      <c r="H632" t="str">
        <f>TEXT(calls[[#This Row],[Date of Call]],"DDDD")</f>
        <v>Thursday</v>
      </c>
      <c r="I632">
        <f>ROUND(calls[[#This Row],[Satisfaction Rating]],0)</f>
        <v>3</v>
      </c>
      <c r="N632" t="str" cm="1">
        <f t="array" ref="N632">_xlfn.IFS(_xlfn.SINGLE(calls[Duration])&lt;30,"UNDER 30 MINS",_xlfn.SINGLE(calls[Duration])&lt;60,"30 T0 60 MINS",_xlfn.SINGLE(calls[Duration])&lt;120,"1 TO 2 HRS",TRUE,"ABOVE 2 HRS")</f>
        <v>ABOVE 2 HRS</v>
      </c>
    </row>
    <row r="633" spans="1:14" x14ac:dyDescent="0.3">
      <c r="A633" t="s">
        <v>667</v>
      </c>
      <c r="B633" t="s">
        <v>39</v>
      </c>
      <c r="C633">
        <v>41</v>
      </c>
      <c r="D633" t="s">
        <v>36</v>
      </c>
      <c r="E633" s="1">
        <v>45128</v>
      </c>
      <c r="F633">
        <v>112</v>
      </c>
      <c r="G633">
        <v>2.2999999999999998</v>
      </c>
      <c r="H633" t="str">
        <f>TEXT(calls[[#This Row],[Date of Call]],"DDDD")</f>
        <v>Friday</v>
      </c>
      <c r="I633">
        <f>ROUND(calls[[#This Row],[Satisfaction Rating]],0)</f>
        <v>2</v>
      </c>
      <c r="N633" t="str" cm="1">
        <f t="array" ref="N633">_xlfn.IFS(_xlfn.SINGLE(calls[Duration])&lt;30,"UNDER 30 MINS",_xlfn.SINGLE(calls[Duration])&lt;60,"30 T0 60 MINS",_xlfn.SINGLE(calls[Duration])&lt;120,"1 TO 2 HRS",TRUE,"ABOVE 2 HRS")</f>
        <v>30 T0 60 MINS</v>
      </c>
    </row>
    <row r="634" spans="1:14" x14ac:dyDescent="0.3">
      <c r="A634" t="s">
        <v>668</v>
      </c>
      <c r="B634" t="s">
        <v>26</v>
      </c>
      <c r="C634">
        <v>60</v>
      </c>
      <c r="D634" t="s">
        <v>29</v>
      </c>
      <c r="E634" s="1">
        <v>45128</v>
      </c>
      <c r="F634">
        <v>60</v>
      </c>
      <c r="G634">
        <v>2.2999999999999998</v>
      </c>
      <c r="H634" t="str">
        <f>TEXT(calls[[#This Row],[Date of Call]],"DDDD")</f>
        <v>Friday</v>
      </c>
      <c r="I634">
        <f>ROUND(calls[[#This Row],[Satisfaction Rating]],0)</f>
        <v>2</v>
      </c>
      <c r="N634" t="str" cm="1">
        <f t="array" ref="N634">_xlfn.IFS(_xlfn.SINGLE(calls[Duration])&lt;30,"UNDER 30 MINS",_xlfn.SINGLE(calls[Duration])&lt;60,"30 T0 60 MINS",_xlfn.SINGLE(calls[Duration])&lt;120,"1 TO 2 HRS",TRUE,"ABOVE 2 HRS")</f>
        <v>1 TO 2 HRS</v>
      </c>
    </row>
    <row r="635" spans="1:14" x14ac:dyDescent="0.3">
      <c r="A635" t="s">
        <v>669</v>
      </c>
      <c r="B635" t="s">
        <v>26</v>
      </c>
      <c r="C635">
        <v>144</v>
      </c>
      <c r="D635" t="s">
        <v>29</v>
      </c>
      <c r="E635" s="1">
        <v>45129</v>
      </c>
      <c r="F635">
        <v>102</v>
      </c>
      <c r="G635">
        <v>2.9</v>
      </c>
      <c r="H635" t="str">
        <f>TEXT(calls[[#This Row],[Date of Call]],"DDDD")</f>
        <v>Saturday</v>
      </c>
      <c r="I635">
        <f>ROUND(calls[[#This Row],[Satisfaction Rating]],0)</f>
        <v>3</v>
      </c>
      <c r="N635" t="str" cm="1">
        <f t="array" ref="N635">_xlfn.IFS(_xlfn.SINGLE(calls[Duration])&lt;30,"UNDER 30 MINS",_xlfn.SINGLE(calls[Duration])&lt;60,"30 T0 60 MINS",_xlfn.SINGLE(calls[Duration])&lt;120,"1 TO 2 HRS",TRUE,"ABOVE 2 HRS")</f>
        <v>ABOVE 2 HRS</v>
      </c>
    </row>
    <row r="636" spans="1:14" x14ac:dyDescent="0.3">
      <c r="A636" t="s">
        <v>670</v>
      </c>
      <c r="B636" t="s">
        <v>28</v>
      </c>
      <c r="C636">
        <v>67</v>
      </c>
      <c r="D636" t="s">
        <v>29</v>
      </c>
      <c r="E636" s="1">
        <v>45129</v>
      </c>
      <c r="F636">
        <v>38</v>
      </c>
      <c r="G636">
        <v>4.2</v>
      </c>
      <c r="H636" t="str">
        <f>TEXT(calls[[#This Row],[Date of Call]],"DDDD")</f>
        <v>Saturday</v>
      </c>
      <c r="I636">
        <f>ROUND(calls[[#This Row],[Satisfaction Rating]],0)</f>
        <v>4</v>
      </c>
      <c r="N636" t="str" cm="1">
        <f t="array" ref="N636">_xlfn.IFS(_xlfn.SINGLE(calls[Duration])&lt;30,"UNDER 30 MINS",_xlfn.SINGLE(calls[Duration])&lt;60,"30 T0 60 MINS",_xlfn.SINGLE(calls[Duration])&lt;120,"1 TO 2 HRS",TRUE,"ABOVE 2 HRS")</f>
        <v>1 TO 2 HRS</v>
      </c>
    </row>
    <row r="637" spans="1:14" x14ac:dyDescent="0.3">
      <c r="A637" t="s">
        <v>671</v>
      </c>
      <c r="B637" t="s">
        <v>39</v>
      </c>
      <c r="C637">
        <v>162</v>
      </c>
      <c r="D637" t="s">
        <v>13</v>
      </c>
      <c r="E637" s="1">
        <v>45129</v>
      </c>
      <c r="F637">
        <v>82</v>
      </c>
      <c r="G637">
        <v>4.5999999999999996</v>
      </c>
      <c r="H637" t="str">
        <f>TEXT(calls[[#This Row],[Date of Call]],"DDDD")</f>
        <v>Saturday</v>
      </c>
      <c r="I637">
        <f>ROUND(calls[[#This Row],[Satisfaction Rating]],0)</f>
        <v>5</v>
      </c>
      <c r="N637" t="str" cm="1">
        <f t="array" ref="N637">_xlfn.IFS(_xlfn.SINGLE(calls[Duration])&lt;30,"UNDER 30 MINS",_xlfn.SINGLE(calls[Duration])&lt;60,"30 T0 60 MINS",_xlfn.SINGLE(calls[Duration])&lt;120,"1 TO 2 HRS",TRUE,"ABOVE 2 HRS")</f>
        <v>ABOVE 2 HRS</v>
      </c>
    </row>
    <row r="638" spans="1:14" x14ac:dyDescent="0.3">
      <c r="A638" t="s">
        <v>672</v>
      </c>
      <c r="B638" t="s">
        <v>26</v>
      </c>
      <c r="C638">
        <v>87</v>
      </c>
      <c r="D638" t="s">
        <v>23</v>
      </c>
      <c r="E638" s="1">
        <v>45132</v>
      </c>
      <c r="F638">
        <v>125</v>
      </c>
      <c r="G638">
        <v>4.5</v>
      </c>
      <c r="H638" t="str">
        <f>TEXT(calls[[#This Row],[Date of Call]],"DDDD")</f>
        <v>Tuesday</v>
      </c>
      <c r="I638">
        <f>ROUND(calls[[#This Row],[Satisfaction Rating]],0)</f>
        <v>5</v>
      </c>
      <c r="N638" t="str" cm="1">
        <f t="array" ref="N638">_xlfn.IFS(_xlfn.SINGLE(calls[Duration])&lt;30,"UNDER 30 MINS",_xlfn.SINGLE(calls[Duration])&lt;60,"30 T0 60 MINS",_xlfn.SINGLE(calls[Duration])&lt;120,"1 TO 2 HRS",TRUE,"ABOVE 2 HRS")</f>
        <v>1 TO 2 HRS</v>
      </c>
    </row>
    <row r="639" spans="1:14" x14ac:dyDescent="0.3">
      <c r="A639" t="s">
        <v>673</v>
      </c>
      <c r="B639" t="s">
        <v>50</v>
      </c>
      <c r="C639">
        <v>10</v>
      </c>
      <c r="D639" t="s">
        <v>42</v>
      </c>
      <c r="E639" s="1">
        <v>45133</v>
      </c>
      <c r="F639">
        <v>72</v>
      </c>
      <c r="G639">
        <v>3.7</v>
      </c>
      <c r="H639" t="str">
        <f>TEXT(calls[[#This Row],[Date of Call]],"DDDD")</f>
        <v>Wednesday</v>
      </c>
      <c r="I639">
        <f>ROUND(calls[[#This Row],[Satisfaction Rating]],0)</f>
        <v>4</v>
      </c>
      <c r="N639" t="str" cm="1">
        <f t="array" ref="N639">_xlfn.IFS(_xlfn.SINGLE(calls[Duration])&lt;30,"UNDER 30 MINS",_xlfn.SINGLE(calls[Duration])&lt;60,"30 T0 60 MINS",_xlfn.SINGLE(calls[Duration])&lt;120,"1 TO 2 HRS",TRUE,"ABOVE 2 HRS")</f>
        <v>UNDER 30 MINS</v>
      </c>
    </row>
    <row r="640" spans="1:14" x14ac:dyDescent="0.3">
      <c r="A640" t="s">
        <v>674</v>
      </c>
      <c r="B640" t="s">
        <v>18</v>
      </c>
      <c r="C640">
        <v>138</v>
      </c>
      <c r="D640" t="s">
        <v>42</v>
      </c>
      <c r="E640" s="1">
        <v>45133</v>
      </c>
      <c r="F640">
        <v>195</v>
      </c>
      <c r="G640">
        <v>4.0999999999999996</v>
      </c>
      <c r="H640" t="str">
        <f>TEXT(calls[[#This Row],[Date of Call]],"DDDD")</f>
        <v>Wednesday</v>
      </c>
      <c r="I640">
        <f>ROUND(calls[[#This Row],[Satisfaction Rating]],0)</f>
        <v>4</v>
      </c>
      <c r="N640" t="str" cm="1">
        <f t="array" ref="N640">_xlfn.IFS(_xlfn.SINGLE(calls[Duration])&lt;30,"UNDER 30 MINS",_xlfn.SINGLE(calls[Duration])&lt;60,"30 T0 60 MINS",_xlfn.SINGLE(calls[Duration])&lt;120,"1 TO 2 HRS",TRUE,"ABOVE 2 HRS")</f>
        <v>ABOVE 2 HRS</v>
      </c>
    </row>
    <row r="641" spans="1:14" x14ac:dyDescent="0.3">
      <c r="A641" t="s">
        <v>675</v>
      </c>
      <c r="B641" t="s">
        <v>39</v>
      </c>
      <c r="C641">
        <v>31</v>
      </c>
      <c r="D641" t="s">
        <v>42</v>
      </c>
      <c r="E641" s="1">
        <v>45134</v>
      </c>
      <c r="F641">
        <v>160</v>
      </c>
      <c r="G641">
        <v>3.4</v>
      </c>
      <c r="H641" t="str">
        <f>TEXT(calls[[#This Row],[Date of Call]],"DDDD")</f>
        <v>Thursday</v>
      </c>
      <c r="I641">
        <f>ROUND(calls[[#This Row],[Satisfaction Rating]],0)</f>
        <v>3</v>
      </c>
      <c r="N641" t="str" cm="1">
        <f t="array" ref="N641">_xlfn.IFS(_xlfn.SINGLE(calls[Duration])&lt;30,"UNDER 30 MINS",_xlfn.SINGLE(calls[Duration])&lt;60,"30 T0 60 MINS",_xlfn.SINGLE(calls[Duration])&lt;120,"1 TO 2 HRS",TRUE,"ABOVE 2 HRS")</f>
        <v>30 T0 60 MINS</v>
      </c>
    </row>
    <row r="642" spans="1:14" x14ac:dyDescent="0.3">
      <c r="A642" t="s">
        <v>676</v>
      </c>
      <c r="B642" t="s">
        <v>46</v>
      </c>
      <c r="C642">
        <v>75</v>
      </c>
      <c r="D642" t="s">
        <v>13</v>
      </c>
      <c r="E642" s="1">
        <v>45134</v>
      </c>
      <c r="F642">
        <v>78</v>
      </c>
      <c r="G642">
        <v>3.3</v>
      </c>
      <c r="H642" t="str">
        <f>TEXT(calls[[#This Row],[Date of Call]],"DDDD")</f>
        <v>Thursday</v>
      </c>
      <c r="I642">
        <f>ROUND(calls[[#This Row],[Satisfaction Rating]],0)</f>
        <v>3</v>
      </c>
      <c r="N642" t="str" cm="1">
        <f t="array" ref="N642">_xlfn.IFS(_xlfn.SINGLE(calls[Duration])&lt;30,"UNDER 30 MINS",_xlfn.SINGLE(calls[Duration])&lt;60,"30 T0 60 MINS",_xlfn.SINGLE(calls[Duration])&lt;120,"1 TO 2 HRS",TRUE,"ABOVE 2 HRS")</f>
        <v>1 TO 2 HRS</v>
      </c>
    </row>
    <row r="643" spans="1:14" x14ac:dyDescent="0.3">
      <c r="A643" t="s">
        <v>677</v>
      </c>
      <c r="B643" t="s">
        <v>12</v>
      </c>
      <c r="C643">
        <v>65</v>
      </c>
      <c r="D643" t="s">
        <v>13</v>
      </c>
      <c r="E643" s="1">
        <v>45135</v>
      </c>
      <c r="F643">
        <v>70</v>
      </c>
      <c r="G643">
        <v>4.4000000000000004</v>
      </c>
      <c r="H643" t="str">
        <f>TEXT(calls[[#This Row],[Date of Call]],"DDDD")</f>
        <v>Friday</v>
      </c>
      <c r="I643">
        <f>ROUND(calls[[#This Row],[Satisfaction Rating]],0)</f>
        <v>4</v>
      </c>
      <c r="N643" t="str" cm="1">
        <f t="array" ref="N643">_xlfn.IFS(_xlfn.SINGLE(calls[Duration])&lt;30,"UNDER 30 MINS",_xlfn.SINGLE(calls[Duration])&lt;60,"30 T0 60 MINS",_xlfn.SINGLE(calls[Duration])&lt;120,"1 TO 2 HRS",TRUE,"ABOVE 2 HRS")</f>
        <v>1 TO 2 HRS</v>
      </c>
    </row>
    <row r="644" spans="1:14" x14ac:dyDescent="0.3">
      <c r="A644" t="s">
        <v>678</v>
      </c>
      <c r="B644" t="s">
        <v>22</v>
      </c>
      <c r="C644">
        <v>106</v>
      </c>
      <c r="D644" t="s">
        <v>36</v>
      </c>
      <c r="E644" s="1">
        <v>45135</v>
      </c>
      <c r="F644">
        <v>105</v>
      </c>
      <c r="G644">
        <v>4.2</v>
      </c>
      <c r="H644" t="str">
        <f>TEXT(calls[[#This Row],[Date of Call]],"DDDD")</f>
        <v>Friday</v>
      </c>
      <c r="I644">
        <f>ROUND(calls[[#This Row],[Satisfaction Rating]],0)</f>
        <v>4</v>
      </c>
      <c r="N644" t="str" cm="1">
        <f t="array" ref="N644">_xlfn.IFS(_xlfn.SINGLE(calls[Duration])&lt;30,"UNDER 30 MINS",_xlfn.SINGLE(calls[Duration])&lt;60,"30 T0 60 MINS",_xlfn.SINGLE(calls[Duration])&lt;120,"1 TO 2 HRS",TRUE,"ABOVE 2 HRS")</f>
        <v>1 TO 2 HRS</v>
      </c>
    </row>
    <row r="645" spans="1:14" x14ac:dyDescent="0.3">
      <c r="A645" t="s">
        <v>679</v>
      </c>
      <c r="B645" t="s">
        <v>12</v>
      </c>
      <c r="C645">
        <v>107</v>
      </c>
      <c r="D645" t="s">
        <v>36</v>
      </c>
      <c r="E645" s="1">
        <v>45136</v>
      </c>
      <c r="F645">
        <v>78</v>
      </c>
      <c r="G645">
        <v>3.4</v>
      </c>
      <c r="H645" t="str">
        <f>TEXT(calls[[#This Row],[Date of Call]],"DDDD")</f>
        <v>Saturday</v>
      </c>
      <c r="I645">
        <f>ROUND(calls[[#This Row],[Satisfaction Rating]],0)</f>
        <v>3</v>
      </c>
      <c r="N645" t="str" cm="1">
        <f t="array" ref="N645">_xlfn.IFS(_xlfn.SINGLE(calls[Duration])&lt;30,"UNDER 30 MINS",_xlfn.SINGLE(calls[Duration])&lt;60,"30 T0 60 MINS",_xlfn.SINGLE(calls[Duration])&lt;120,"1 TO 2 HRS",TRUE,"ABOVE 2 HRS")</f>
        <v>1 TO 2 HRS</v>
      </c>
    </row>
    <row r="646" spans="1:14" x14ac:dyDescent="0.3">
      <c r="A646" t="s">
        <v>680</v>
      </c>
      <c r="B646" t="s">
        <v>14</v>
      </c>
      <c r="C646">
        <v>78</v>
      </c>
      <c r="D646" t="s">
        <v>36</v>
      </c>
      <c r="E646" s="1">
        <v>45138</v>
      </c>
      <c r="F646">
        <v>205</v>
      </c>
      <c r="G646">
        <v>4.4000000000000004</v>
      </c>
      <c r="H646" t="str">
        <f>TEXT(calls[[#This Row],[Date of Call]],"DDDD")</f>
        <v>Monday</v>
      </c>
      <c r="I646">
        <f>ROUND(calls[[#This Row],[Satisfaction Rating]],0)</f>
        <v>4</v>
      </c>
      <c r="N646" t="str" cm="1">
        <f t="array" ref="N646">_xlfn.IFS(_xlfn.SINGLE(calls[Duration])&lt;30,"UNDER 30 MINS",_xlfn.SINGLE(calls[Duration])&lt;60,"30 T0 60 MINS",_xlfn.SINGLE(calls[Duration])&lt;120,"1 TO 2 HRS",TRUE,"ABOVE 2 HRS")</f>
        <v>1 TO 2 HRS</v>
      </c>
    </row>
    <row r="647" spans="1:14" x14ac:dyDescent="0.3">
      <c r="A647" t="s">
        <v>681</v>
      </c>
      <c r="B647" t="s">
        <v>19</v>
      </c>
      <c r="C647">
        <v>122</v>
      </c>
      <c r="D647" t="s">
        <v>36</v>
      </c>
      <c r="E647" s="1">
        <v>45138</v>
      </c>
      <c r="F647">
        <v>78</v>
      </c>
      <c r="G647">
        <v>2.7</v>
      </c>
      <c r="H647" t="str">
        <f>TEXT(calls[[#This Row],[Date of Call]],"DDDD")</f>
        <v>Monday</v>
      </c>
      <c r="I647">
        <f>ROUND(calls[[#This Row],[Satisfaction Rating]],0)</f>
        <v>3</v>
      </c>
      <c r="N647" t="str" cm="1">
        <f t="array" ref="N647">_xlfn.IFS(_xlfn.SINGLE(calls[Duration])&lt;30,"UNDER 30 MINS",_xlfn.SINGLE(calls[Duration])&lt;60,"30 T0 60 MINS",_xlfn.SINGLE(calls[Duration])&lt;120,"1 TO 2 HRS",TRUE,"ABOVE 2 HRS")</f>
        <v>ABOVE 2 HRS</v>
      </c>
    </row>
    <row r="648" spans="1:14" x14ac:dyDescent="0.3">
      <c r="A648" t="s">
        <v>682</v>
      </c>
      <c r="B648" t="s">
        <v>18</v>
      </c>
      <c r="C648">
        <v>58</v>
      </c>
      <c r="D648" t="s">
        <v>42</v>
      </c>
      <c r="E648" s="1">
        <v>45138</v>
      </c>
      <c r="F648">
        <v>38</v>
      </c>
      <c r="G648">
        <v>4.5</v>
      </c>
      <c r="H648" t="str">
        <f>TEXT(calls[[#This Row],[Date of Call]],"DDDD")</f>
        <v>Monday</v>
      </c>
      <c r="I648">
        <f>ROUND(calls[[#This Row],[Satisfaction Rating]],0)</f>
        <v>5</v>
      </c>
      <c r="N648" t="str" cm="1">
        <f t="array" ref="N648">_xlfn.IFS(_xlfn.SINGLE(calls[Duration])&lt;30,"UNDER 30 MINS",_xlfn.SINGLE(calls[Duration])&lt;60,"30 T0 60 MINS",_xlfn.SINGLE(calls[Duration])&lt;120,"1 TO 2 HRS",TRUE,"ABOVE 2 HRS")</f>
        <v>30 T0 60 MINS</v>
      </c>
    </row>
    <row r="649" spans="1:14" x14ac:dyDescent="0.3">
      <c r="A649" t="s">
        <v>683</v>
      </c>
      <c r="B649" t="s">
        <v>14</v>
      </c>
      <c r="C649">
        <v>33</v>
      </c>
      <c r="D649" t="s">
        <v>29</v>
      </c>
      <c r="E649" s="1">
        <v>45138</v>
      </c>
      <c r="F649">
        <v>92</v>
      </c>
      <c r="G649">
        <v>1.7</v>
      </c>
      <c r="H649" t="str">
        <f>TEXT(calls[[#This Row],[Date of Call]],"DDDD")</f>
        <v>Monday</v>
      </c>
      <c r="I649">
        <f>ROUND(calls[[#This Row],[Satisfaction Rating]],0)</f>
        <v>2</v>
      </c>
      <c r="N649" t="str" cm="1">
        <f t="array" ref="N649">_xlfn.IFS(_xlfn.SINGLE(calls[Duration])&lt;30,"UNDER 30 MINS",_xlfn.SINGLE(calls[Duration])&lt;60,"30 T0 60 MINS",_xlfn.SINGLE(calls[Duration])&lt;120,"1 TO 2 HRS",TRUE,"ABOVE 2 HRS")</f>
        <v>30 T0 60 MINS</v>
      </c>
    </row>
    <row r="650" spans="1:14" x14ac:dyDescent="0.3">
      <c r="A650" t="s">
        <v>684</v>
      </c>
      <c r="B650" t="s">
        <v>37</v>
      </c>
      <c r="C650">
        <v>164</v>
      </c>
      <c r="D650" t="s">
        <v>13</v>
      </c>
      <c r="E650" s="1">
        <v>45138</v>
      </c>
      <c r="F650">
        <v>36</v>
      </c>
      <c r="G650">
        <v>4.7</v>
      </c>
      <c r="H650" t="str">
        <f>TEXT(calls[[#This Row],[Date of Call]],"DDDD")</f>
        <v>Monday</v>
      </c>
      <c r="I650">
        <f>ROUND(calls[[#This Row],[Satisfaction Rating]],0)</f>
        <v>5</v>
      </c>
      <c r="N650" t="str" cm="1">
        <f t="array" ref="N650">_xlfn.IFS(_xlfn.SINGLE(calls[Duration])&lt;30,"UNDER 30 MINS",_xlfn.SINGLE(calls[Duration])&lt;60,"30 T0 60 MINS",_xlfn.SINGLE(calls[Duration])&lt;120,"1 TO 2 HRS",TRUE,"ABOVE 2 HRS")</f>
        <v>ABOVE 2 HRS</v>
      </c>
    </row>
    <row r="651" spans="1:14" x14ac:dyDescent="0.3">
      <c r="A651" t="s">
        <v>685</v>
      </c>
      <c r="B651" t="s">
        <v>46</v>
      </c>
      <c r="C651">
        <v>163</v>
      </c>
      <c r="D651" t="s">
        <v>23</v>
      </c>
      <c r="E651" s="1">
        <v>45138</v>
      </c>
      <c r="F651">
        <v>76</v>
      </c>
      <c r="G651">
        <v>4.4000000000000004</v>
      </c>
      <c r="H651" t="str">
        <f>TEXT(calls[[#This Row],[Date of Call]],"DDDD")</f>
        <v>Monday</v>
      </c>
      <c r="I651">
        <f>ROUND(calls[[#This Row],[Satisfaction Rating]],0)</f>
        <v>4</v>
      </c>
      <c r="N651" t="str" cm="1">
        <f t="array" ref="N651">_xlfn.IFS(_xlfn.SINGLE(calls[Duration])&lt;30,"UNDER 30 MINS",_xlfn.SINGLE(calls[Duration])&lt;60,"30 T0 60 MINS",_xlfn.SINGLE(calls[Duration])&lt;120,"1 TO 2 HRS",TRUE,"ABOVE 2 HRS")</f>
        <v>ABOVE 2 HRS</v>
      </c>
    </row>
    <row r="652" spans="1:14" x14ac:dyDescent="0.3">
      <c r="A652" t="s">
        <v>686</v>
      </c>
      <c r="B652" t="s">
        <v>33</v>
      </c>
      <c r="C652">
        <v>71</v>
      </c>
      <c r="D652" t="s">
        <v>13</v>
      </c>
      <c r="E652" s="1">
        <v>45140</v>
      </c>
      <c r="F652">
        <v>170</v>
      </c>
      <c r="G652">
        <v>3.5</v>
      </c>
      <c r="H652" t="str">
        <f>TEXT(calls[[#This Row],[Date of Call]],"DDDD")</f>
        <v>Wednesday</v>
      </c>
      <c r="I652">
        <f>ROUND(calls[[#This Row],[Satisfaction Rating]],0)</f>
        <v>4</v>
      </c>
      <c r="N652" t="str" cm="1">
        <f t="array" ref="N652">_xlfn.IFS(_xlfn.SINGLE(calls[Duration])&lt;30,"UNDER 30 MINS",_xlfn.SINGLE(calls[Duration])&lt;60,"30 T0 60 MINS",_xlfn.SINGLE(calls[Duration])&lt;120,"1 TO 2 HRS",TRUE,"ABOVE 2 HRS")</f>
        <v>1 TO 2 HRS</v>
      </c>
    </row>
    <row r="653" spans="1:14" x14ac:dyDescent="0.3">
      <c r="A653" t="s">
        <v>687</v>
      </c>
      <c r="B653" t="s">
        <v>14</v>
      </c>
      <c r="C653">
        <v>103</v>
      </c>
      <c r="D653" t="s">
        <v>42</v>
      </c>
      <c r="E653" s="1">
        <v>45141</v>
      </c>
      <c r="F653">
        <v>117</v>
      </c>
      <c r="G653">
        <v>4.7</v>
      </c>
      <c r="H653" t="str">
        <f>TEXT(calls[[#This Row],[Date of Call]],"DDDD")</f>
        <v>Thursday</v>
      </c>
      <c r="I653">
        <f>ROUND(calls[[#This Row],[Satisfaction Rating]],0)</f>
        <v>5</v>
      </c>
      <c r="N653" t="str" cm="1">
        <f t="array" ref="N653">_xlfn.IFS(_xlfn.SINGLE(calls[Duration])&lt;30,"UNDER 30 MINS",_xlfn.SINGLE(calls[Duration])&lt;60,"30 T0 60 MINS",_xlfn.SINGLE(calls[Duration])&lt;120,"1 TO 2 HRS",TRUE,"ABOVE 2 HRS")</f>
        <v>1 TO 2 HRS</v>
      </c>
    </row>
    <row r="654" spans="1:14" x14ac:dyDescent="0.3">
      <c r="A654" t="s">
        <v>688</v>
      </c>
      <c r="B654" t="s">
        <v>31</v>
      </c>
      <c r="C654">
        <v>69</v>
      </c>
      <c r="D654" t="s">
        <v>23</v>
      </c>
      <c r="E654" s="1">
        <v>45141</v>
      </c>
      <c r="F654">
        <v>20</v>
      </c>
      <c r="G654">
        <v>4.3</v>
      </c>
      <c r="H654" t="str">
        <f>TEXT(calls[[#This Row],[Date of Call]],"DDDD")</f>
        <v>Thursday</v>
      </c>
      <c r="I654">
        <f>ROUND(calls[[#This Row],[Satisfaction Rating]],0)</f>
        <v>4</v>
      </c>
      <c r="N654" t="str" cm="1">
        <f t="array" ref="N654">_xlfn.IFS(_xlfn.SINGLE(calls[Duration])&lt;30,"UNDER 30 MINS",_xlfn.SINGLE(calls[Duration])&lt;60,"30 T0 60 MINS",_xlfn.SINGLE(calls[Duration])&lt;120,"1 TO 2 HRS",TRUE,"ABOVE 2 HRS")</f>
        <v>1 TO 2 HRS</v>
      </c>
    </row>
    <row r="655" spans="1:14" x14ac:dyDescent="0.3">
      <c r="A655" t="s">
        <v>689</v>
      </c>
      <c r="B655" t="s">
        <v>46</v>
      </c>
      <c r="C655">
        <v>111</v>
      </c>
      <c r="D655" t="s">
        <v>42</v>
      </c>
      <c r="E655" s="1">
        <v>45141</v>
      </c>
      <c r="F655">
        <v>99</v>
      </c>
      <c r="G655">
        <v>4.0999999999999996</v>
      </c>
      <c r="H655" t="str">
        <f>TEXT(calls[[#This Row],[Date of Call]],"DDDD")</f>
        <v>Thursday</v>
      </c>
      <c r="I655">
        <f>ROUND(calls[[#This Row],[Satisfaction Rating]],0)</f>
        <v>4</v>
      </c>
      <c r="N655" t="str" cm="1">
        <f t="array" ref="N655">_xlfn.IFS(_xlfn.SINGLE(calls[Duration])&lt;30,"UNDER 30 MINS",_xlfn.SINGLE(calls[Duration])&lt;60,"30 T0 60 MINS",_xlfn.SINGLE(calls[Duration])&lt;120,"1 TO 2 HRS",TRUE,"ABOVE 2 HRS")</f>
        <v>1 TO 2 HRS</v>
      </c>
    </row>
    <row r="656" spans="1:14" x14ac:dyDescent="0.3">
      <c r="A656" t="s">
        <v>690</v>
      </c>
      <c r="B656" t="s">
        <v>41</v>
      </c>
      <c r="C656">
        <v>97</v>
      </c>
      <c r="D656" t="s">
        <v>23</v>
      </c>
      <c r="E656" s="1">
        <v>45142</v>
      </c>
      <c r="F656">
        <v>105</v>
      </c>
      <c r="G656">
        <v>2.9</v>
      </c>
      <c r="H656" t="str">
        <f>TEXT(calls[[#This Row],[Date of Call]],"DDDD")</f>
        <v>Friday</v>
      </c>
      <c r="I656">
        <f>ROUND(calls[[#This Row],[Satisfaction Rating]],0)</f>
        <v>3</v>
      </c>
      <c r="N656" t="str" cm="1">
        <f t="array" ref="N656">_xlfn.IFS(_xlfn.SINGLE(calls[Duration])&lt;30,"UNDER 30 MINS",_xlfn.SINGLE(calls[Duration])&lt;60,"30 T0 60 MINS",_xlfn.SINGLE(calls[Duration])&lt;120,"1 TO 2 HRS",TRUE,"ABOVE 2 HRS")</f>
        <v>1 TO 2 HRS</v>
      </c>
    </row>
    <row r="657" spans="1:14" x14ac:dyDescent="0.3">
      <c r="A657" t="s">
        <v>691</v>
      </c>
      <c r="B657" t="s">
        <v>45</v>
      </c>
      <c r="C657">
        <v>144</v>
      </c>
      <c r="D657" t="s">
        <v>36</v>
      </c>
      <c r="E657" s="1">
        <v>45142</v>
      </c>
      <c r="F657">
        <v>195</v>
      </c>
      <c r="G657">
        <v>3.4</v>
      </c>
      <c r="H657" t="str">
        <f>TEXT(calls[[#This Row],[Date of Call]],"DDDD")</f>
        <v>Friday</v>
      </c>
      <c r="I657">
        <f>ROUND(calls[[#This Row],[Satisfaction Rating]],0)</f>
        <v>3</v>
      </c>
      <c r="N657" t="str" cm="1">
        <f t="array" ref="N657">_xlfn.IFS(_xlfn.SINGLE(calls[Duration])&lt;30,"UNDER 30 MINS",_xlfn.SINGLE(calls[Duration])&lt;60,"30 T0 60 MINS",_xlfn.SINGLE(calls[Duration])&lt;120,"1 TO 2 HRS",TRUE,"ABOVE 2 HRS")</f>
        <v>ABOVE 2 HRS</v>
      </c>
    </row>
    <row r="658" spans="1:14" x14ac:dyDescent="0.3">
      <c r="A658" t="s">
        <v>692</v>
      </c>
      <c r="B658" t="s">
        <v>22</v>
      </c>
      <c r="C658">
        <v>56</v>
      </c>
      <c r="D658" t="s">
        <v>23</v>
      </c>
      <c r="E658" s="1">
        <v>45143</v>
      </c>
      <c r="F658">
        <v>152</v>
      </c>
      <c r="G658">
        <v>4.5999999999999996</v>
      </c>
      <c r="H658" t="str">
        <f>TEXT(calls[[#This Row],[Date of Call]],"DDDD")</f>
        <v>Saturday</v>
      </c>
      <c r="I658">
        <f>ROUND(calls[[#This Row],[Satisfaction Rating]],0)</f>
        <v>5</v>
      </c>
      <c r="N658" t="str" cm="1">
        <f t="array" ref="N658">_xlfn.IFS(_xlfn.SINGLE(calls[Duration])&lt;30,"UNDER 30 MINS",_xlfn.SINGLE(calls[Duration])&lt;60,"30 T0 60 MINS",_xlfn.SINGLE(calls[Duration])&lt;120,"1 TO 2 HRS",TRUE,"ABOVE 2 HRS")</f>
        <v>30 T0 60 MINS</v>
      </c>
    </row>
    <row r="659" spans="1:14" x14ac:dyDescent="0.3">
      <c r="A659" t="s">
        <v>693</v>
      </c>
      <c r="B659" t="s">
        <v>45</v>
      </c>
      <c r="C659">
        <v>132</v>
      </c>
      <c r="D659" t="s">
        <v>36</v>
      </c>
      <c r="E659" s="1">
        <v>45144</v>
      </c>
      <c r="F659">
        <v>195</v>
      </c>
      <c r="G659">
        <v>4.9000000000000004</v>
      </c>
      <c r="H659" t="str">
        <f>TEXT(calls[[#This Row],[Date of Call]],"DDDD")</f>
        <v>Sunday</v>
      </c>
      <c r="I659">
        <f>ROUND(calls[[#This Row],[Satisfaction Rating]],0)</f>
        <v>5</v>
      </c>
      <c r="N659" t="str" cm="1">
        <f t="array" ref="N659">_xlfn.IFS(_xlfn.SINGLE(calls[Duration])&lt;30,"UNDER 30 MINS",_xlfn.SINGLE(calls[Duration])&lt;60,"30 T0 60 MINS",_xlfn.SINGLE(calls[Duration])&lt;120,"1 TO 2 HRS",TRUE,"ABOVE 2 HRS")</f>
        <v>ABOVE 2 HRS</v>
      </c>
    </row>
    <row r="660" spans="1:14" x14ac:dyDescent="0.3">
      <c r="A660" t="s">
        <v>694</v>
      </c>
      <c r="B660" t="s">
        <v>33</v>
      </c>
      <c r="C660">
        <v>72</v>
      </c>
      <c r="D660" t="s">
        <v>29</v>
      </c>
      <c r="E660" s="1">
        <v>45144</v>
      </c>
      <c r="F660">
        <v>70</v>
      </c>
      <c r="G660">
        <v>3.6</v>
      </c>
      <c r="H660" t="str">
        <f>TEXT(calls[[#This Row],[Date of Call]],"DDDD")</f>
        <v>Sunday</v>
      </c>
      <c r="I660">
        <f>ROUND(calls[[#This Row],[Satisfaction Rating]],0)</f>
        <v>4</v>
      </c>
      <c r="N660" t="str" cm="1">
        <f t="array" ref="N660">_xlfn.IFS(_xlfn.SINGLE(calls[Duration])&lt;30,"UNDER 30 MINS",_xlfn.SINGLE(calls[Duration])&lt;60,"30 T0 60 MINS",_xlfn.SINGLE(calls[Duration])&lt;120,"1 TO 2 HRS",TRUE,"ABOVE 2 HRS")</f>
        <v>1 TO 2 HRS</v>
      </c>
    </row>
    <row r="661" spans="1:14" x14ac:dyDescent="0.3">
      <c r="A661" t="s">
        <v>695</v>
      </c>
      <c r="B661" t="s">
        <v>46</v>
      </c>
      <c r="C661">
        <v>18</v>
      </c>
      <c r="D661" t="s">
        <v>29</v>
      </c>
      <c r="E661" s="1">
        <v>45144</v>
      </c>
      <c r="F661">
        <v>22</v>
      </c>
      <c r="G661">
        <v>3.5</v>
      </c>
      <c r="H661" t="str">
        <f>TEXT(calls[[#This Row],[Date of Call]],"DDDD")</f>
        <v>Sunday</v>
      </c>
      <c r="I661">
        <f>ROUND(calls[[#This Row],[Satisfaction Rating]],0)</f>
        <v>4</v>
      </c>
      <c r="N661" t="str" cm="1">
        <f t="array" ref="N661">_xlfn.IFS(_xlfn.SINGLE(calls[Duration])&lt;30,"UNDER 30 MINS",_xlfn.SINGLE(calls[Duration])&lt;60,"30 T0 60 MINS",_xlfn.SINGLE(calls[Duration])&lt;120,"1 TO 2 HRS",TRUE,"ABOVE 2 HRS")</f>
        <v>UNDER 30 MINS</v>
      </c>
    </row>
    <row r="662" spans="1:14" x14ac:dyDescent="0.3">
      <c r="A662" t="s">
        <v>696</v>
      </c>
      <c r="B662" t="s">
        <v>28</v>
      </c>
      <c r="C662">
        <v>115</v>
      </c>
      <c r="D662" t="s">
        <v>42</v>
      </c>
      <c r="E662" s="1">
        <v>45145</v>
      </c>
      <c r="F662">
        <v>40</v>
      </c>
      <c r="G662">
        <v>3.3</v>
      </c>
      <c r="H662" t="str">
        <f>TEXT(calls[[#This Row],[Date of Call]],"DDDD")</f>
        <v>Monday</v>
      </c>
      <c r="I662">
        <f>ROUND(calls[[#This Row],[Satisfaction Rating]],0)</f>
        <v>3</v>
      </c>
      <c r="N662" t="str" cm="1">
        <f t="array" ref="N662">_xlfn.IFS(_xlfn.SINGLE(calls[Duration])&lt;30,"UNDER 30 MINS",_xlfn.SINGLE(calls[Duration])&lt;60,"30 T0 60 MINS",_xlfn.SINGLE(calls[Duration])&lt;120,"1 TO 2 HRS",TRUE,"ABOVE 2 HRS")</f>
        <v>1 TO 2 HRS</v>
      </c>
    </row>
    <row r="663" spans="1:14" x14ac:dyDescent="0.3">
      <c r="A663" t="s">
        <v>697</v>
      </c>
      <c r="B663" t="s">
        <v>28</v>
      </c>
      <c r="C663">
        <v>124</v>
      </c>
      <c r="D663" t="s">
        <v>23</v>
      </c>
      <c r="E663" s="1">
        <v>45146</v>
      </c>
      <c r="F663">
        <v>54</v>
      </c>
      <c r="G663">
        <v>3.8</v>
      </c>
      <c r="H663" t="str">
        <f>TEXT(calls[[#This Row],[Date of Call]],"DDDD")</f>
        <v>Tuesday</v>
      </c>
      <c r="I663">
        <f>ROUND(calls[[#This Row],[Satisfaction Rating]],0)</f>
        <v>4</v>
      </c>
      <c r="N663" t="str" cm="1">
        <f t="array" ref="N663">_xlfn.IFS(_xlfn.SINGLE(calls[Duration])&lt;30,"UNDER 30 MINS",_xlfn.SINGLE(calls[Duration])&lt;60,"30 T0 60 MINS",_xlfn.SINGLE(calls[Duration])&lt;120,"1 TO 2 HRS",TRUE,"ABOVE 2 HRS")</f>
        <v>ABOVE 2 HRS</v>
      </c>
    </row>
    <row r="664" spans="1:14" x14ac:dyDescent="0.3">
      <c r="A664" t="s">
        <v>698</v>
      </c>
      <c r="B664" t="s">
        <v>18</v>
      </c>
      <c r="C664">
        <v>130</v>
      </c>
      <c r="D664" t="s">
        <v>23</v>
      </c>
      <c r="E664" s="1">
        <v>45146</v>
      </c>
      <c r="F664">
        <v>60</v>
      </c>
      <c r="G664">
        <v>2.5</v>
      </c>
      <c r="H664" t="str">
        <f>TEXT(calls[[#This Row],[Date of Call]],"DDDD")</f>
        <v>Tuesday</v>
      </c>
      <c r="I664">
        <f>ROUND(calls[[#This Row],[Satisfaction Rating]],0)</f>
        <v>3</v>
      </c>
      <c r="N664" t="str" cm="1">
        <f t="array" ref="N664">_xlfn.IFS(_xlfn.SINGLE(calls[Duration])&lt;30,"UNDER 30 MINS",_xlfn.SINGLE(calls[Duration])&lt;60,"30 T0 60 MINS",_xlfn.SINGLE(calls[Duration])&lt;120,"1 TO 2 HRS",TRUE,"ABOVE 2 HRS")</f>
        <v>ABOVE 2 HRS</v>
      </c>
    </row>
    <row r="665" spans="1:14" x14ac:dyDescent="0.3">
      <c r="A665" t="s">
        <v>699</v>
      </c>
      <c r="B665" t="s">
        <v>50</v>
      </c>
      <c r="C665">
        <v>120</v>
      </c>
      <c r="D665" t="s">
        <v>13</v>
      </c>
      <c r="E665" s="1">
        <v>45148</v>
      </c>
      <c r="F665">
        <v>58</v>
      </c>
      <c r="G665">
        <v>4.5999999999999996</v>
      </c>
      <c r="H665" t="str">
        <f>TEXT(calls[[#This Row],[Date of Call]],"DDDD")</f>
        <v>Thursday</v>
      </c>
      <c r="I665">
        <f>ROUND(calls[[#This Row],[Satisfaction Rating]],0)</f>
        <v>5</v>
      </c>
      <c r="N665" t="str" cm="1">
        <f t="array" ref="N665">_xlfn.IFS(_xlfn.SINGLE(calls[Duration])&lt;30,"UNDER 30 MINS",_xlfn.SINGLE(calls[Duration])&lt;60,"30 T0 60 MINS",_xlfn.SINGLE(calls[Duration])&lt;120,"1 TO 2 HRS",TRUE,"ABOVE 2 HRS")</f>
        <v>ABOVE 2 HRS</v>
      </c>
    </row>
    <row r="666" spans="1:14" x14ac:dyDescent="0.3">
      <c r="A666" t="s">
        <v>700</v>
      </c>
      <c r="B666" t="s">
        <v>41</v>
      </c>
      <c r="C666">
        <v>75</v>
      </c>
      <c r="D666" t="s">
        <v>42</v>
      </c>
      <c r="E666" s="1">
        <v>45148</v>
      </c>
      <c r="F666">
        <v>220</v>
      </c>
      <c r="G666">
        <v>4.7</v>
      </c>
      <c r="H666" t="str">
        <f>TEXT(calls[[#This Row],[Date of Call]],"DDDD")</f>
        <v>Thursday</v>
      </c>
      <c r="I666">
        <f>ROUND(calls[[#This Row],[Satisfaction Rating]],0)</f>
        <v>5</v>
      </c>
      <c r="N666" t="str" cm="1">
        <f t="array" ref="N666">_xlfn.IFS(_xlfn.SINGLE(calls[Duration])&lt;30,"UNDER 30 MINS",_xlfn.SINGLE(calls[Duration])&lt;60,"30 T0 60 MINS",_xlfn.SINGLE(calls[Duration])&lt;120,"1 TO 2 HRS",TRUE,"ABOVE 2 HRS")</f>
        <v>1 TO 2 HRS</v>
      </c>
    </row>
    <row r="667" spans="1:14" x14ac:dyDescent="0.3">
      <c r="A667" t="s">
        <v>701</v>
      </c>
      <c r="B667" t="s">
        <v>12</v>
      </c>
      <c r="C667">
        <v>63</v>
      </c>
      <c r="D667" t="s">
        <v>42</v>
      </c>
      <c r="E667" s="1">
        <v>45148</v>
      </c>
      <c r="F667">
        <v>27</v>
      </c>
      <c r="G667">
        <v>3.6</v>
      </c>
      <c r="H667" t="str">
        <f>TEXT(calls[[#This Row],[Date of Call]],"DDDD")</f>
        <v>Thursday</v>
      </c>
      <c r="I667">
        <f>ROUND(calls[[#This Row],[Satisfaction Rating]],0)</f>
        <v>4</v>
      </c>
      <c r="N667" t="str" cm="1">
        <f t="array" ref="N667">_xlfn.IFS(_xlfn.SINGLE(calls[Duration])&lt;30,"UNDER 30 MINS",_xlfn.SINGLE(calls[Duration])&lt;60,"30 T0 60 MINS",_xlfn.SINGLE(calls[Duration])&lt;120,"1 TO 2 HRS",TRUE,"ABOVE 2 HRS")</f>
        <v>1 TO 2 HRS</v>
      </c>
    </row>
    <row r="668" spans="1:14" x14ac:dyDescent="0.3">
      <c r="A668" t="s">
        <v>702</v>
      </c>
      <c r="B668" t="s">
        <v>45</v>
      </c>
      <c r="C668">
        <v>74</v>
      </c>
      <c r="D668" t="s">
        <v>42</v>
      </c>
      <c r="E668" s="1">
        <v>45150</v>
      </c>
      <c r="F668">
        <v>26</v>
      </c>
      <c r="G668">
        <v>4.3</v>
      </c>
      <c r="H668" t="str">
        <f>TEXT(calls[[#This Row],[Date of Call]],"DDDD")</f>
        <v>Saturday</v>
      </c>
      <c r="I668">
        <f>ROUND(calls[[#This Row],[Satisfaction Rating]],0)</f>
        <v>4</v>
      </c>
      <c r="N668" t="str" cm="1">
        <f t="array" ref="N668">_xlfn.IFS(_xlfn.SINGLE(calls[Duration])&lt;30,"UNDER 30 MINS",_xlfn.SINGLE(calls[Duration])&lt;60,"30 T0 60 MINS",_xlfn.SINGLE(calls[Duration])&lt;120,"1 TO 2 HRS",TRUE,"ABOVE 2 HRS")</f>
        <v>1 TO 2 HRS</v>
      </c>
    </row>
    <row r="669" spans="1:14" x14ac:dyDescent="0.3">
      <c r="A669" t="s">
        <v>703</v>
      </c>
      <c r="B669" t="s">
        <v>31</v>
      </c>
      <c r="C669">
        <v>134</v>
      </c>
      <c r="D669" t="s">
        <v>36</v>
      </c>
      <c r="E669" s="1">
        <v>45151</v>
      </c>
      <c r="F669">
        <v>160</v>
      </c>
      <c r="G669">
        <v>4.7</v>
      </c>
      <c r="H669" t="str">
        <f>TEXT(calls[[#This Row],[Date of Call]],"DDDD")</f>
        <v>Sunday</v>
      </c>
      <c r="I669">
        <f>ROUND(calls[[#This Row],[Satisfaction Rating]],0)</f>
        <v>5</v>
      </c>
      <c r="N669" t="str" cm="1">
        <f t="array" ref="N669">_xlfn.IFS(_xlfn.SINGLE(calls[Duration])&lt;30,"UNDER 30 MINS",_xlfn.SINGLE(calls[Duration])&lt;60,"30 T0 60 MINS",_xlfn.SINGLE(calls[Duration])&lt;120,"1 TO 2 HRS",TRUE,"ABOVE 2 HRS")</f>
        <v>ABOVE 2 HRS</v>
      </c>
    </row>
    <row r="670" spans="1:14" x14ac:dyDescent="0.3">
      <c r="A670" t="s">
        <v>704</v>
      </c>
      <c r="B670" t="s">
        <v>46</v>
      </c>
      <c r="C670">
        <v>103</v>
      </c>
      <c r="D670" t="s">
        <v>23</v>
      </c>
      <c r="E670" s="1">
        <v>45151</v>
      </c>
      <c r="F670">
        <v>200</v>
      </c>
      <c r="G670">
        <v>4.9000000000000004</v>
      </c>
      <c r="H670" t="str">
        <f>TEXT(calls[[#This Row],[Date of Call]],"DDDD")</f>
        <v>Sunday</v>
      </c>
      <c r="I670">
        <f>ROUND(calls[[#This Row],[Satisfaction Rating]],0)</f>
        <v>5</v>
      </c>
      <c r="N670" t="str" cm="1">
        <f t="array" ref="N670">_xlfn.IFS(_xlfn.SINGLE(calls[Duration])&lt;30,"UNDER 30 MINS",_xlfn.SINGLE(calls[Duration])&lt;60,"30 T0 60 MINS",_xlfn.SINGLE(calls[Duration])&lt;120,"1 TO 2 HRS",TRUE,"ABOVE 2 HRS")</f>
        <v>1 TO 2 HRS</v>
      </c>
    </row>
    <row r="671" spans="1:14" x14ac:dyDescent="0.3">
      <c r="A671" t="s">
        <v>705</v>
      </c>
      <c r="B671" t="s">
        <v>46</v>
      </c>
      <c r="C671">
        <v>155</v>
      </c>
      <c r="D671" t="s">
        <v>13</v>
      </c>
      <c r="E671" s="1">
        <v>45154</v>
      </c>
      <c r="F671">
        <v>135</v>
      </c>
      <c r="G671">
        <v>4.9000000000000004</v>
      </c>
      <c r="H671" t="str">
        <f>TEXT(calls[[#This Row],[Date of Call]],"DDDD")</f>
        <v>Wednesday</v>
      </c>
      <c r="I671">
        <f>ROUND(calls[[#This Row],[Satisfaction Rating]],0)</f>
        <v>5</v>
      </c>
      <c r="N671" t="str" cm="1">
        <f t="array" ref="N671">_xlfn.IFS(_xlfn.SINGLE(calls[Duration])&lt;30,"UNDER 30 MINS",_xlfn.SINGLE(calls[Duration])&lt;60,"30 T0 60 MINS",_xlfn.SINGLE(calls[Duration])&lt;120,"1 TO 2 HRS",TRUE,"ABOVE 2 HRS")</f>
        <v>ABOVE 2 HRS</v>
      </c>
    </row>
    <row r="672" spans="1:14" x14ac:dyDescent="0.3">
      <c r="A672" t="s">
        <v>706</v>
      </c>
      <c r="B672" t="s">
        <v>12</v>
      </c>
      <c r="C672">
        <v>128</v>
      </c>
      <c r="D672" t="s">
        <v>23</v>
      </c>
      <c r="E672" s="1">
        <v>45155</v>
      </c>
      <c r="F672">
        <v>22</v>
      </c>
      <c r="G672">
        <v>1.9</v>
      </c>
      <c r="H672" t="str">
        <f>TEXT(calls[[#This Row],[Date of Call]],"DDDD")</f>
        <v>Thursday</v>
      </c>
      <c r="I672">
        <f>ROUND(calls[[#This Row],[Satisfaction Rating]],0)</f>
        <v>2</v>
      </c>
      <c r="N672" t="str" cm="1">
        <f t="array" ref="N672">_xlfn.IFS(_xlfn.SINGLE(calls[Duration])&lt;30,"UNDER 30 MINS",_xlfn.SINGLE(calls[Duration])&lt;60,"30 T0 60 MINS",_xlfn.SINGLE(calls[Duration])&lt;120,"1 TO 2 HRS",TRUE,"ABOVE 2 HRS")</f>
        <v>ABOVE 2 HRS</v>
      </c>
    </row>
    <row r="673" spans="1:14" x14ac:dyDescent="0.3">
      <c r="A673" t="s">
        <v>707</v>
      </c>
      <c r="B673" t="s">
        <v>41</v>
      </c>
      <c r="C673">
        <v>89</v>
      </c>
      <c r="D673" t="s">
        <v>36</v>
      </c>
      <c r="E673" s="1">
        <v>45156</v>
      </c>
      <c r="F673">
        <v>164</v>
      </c>
      <c r="G673">
        <v>4.5</v>
      </c>
      <c r="H673" t="str">
        <f>TEXT(calls[[#This Row],[Date of Call]],"DDDD")</f>
        <v>Friday</v>
      </c>
      <c r="I673">
        <f>ROUND(calls[[#This Row],[Satisfaction Rating]],0)</f>
        <v>5</v>
      </c>
      <c r="N673" t="str" cm="1">
        <f t="array" ref="N673">_xlfn.IFS(_xlfn.SINGLE(calls[Duration])&lt;30,"UNDER 30 MINS",_xlfn.SINGLE(calls[Duration])&lt;60,"30 T0 60 MINS",_xlfn.SINGLE(calls[Duration])&lt;120,"1 TO 2 HRS",TRUE,"ABOVE 2 HRS")</f>
        <v>1 TO 2 HRS</v>
      </c>
    </row>
    <row r="674" spans="1:14" x14ac:dyDescent="0.3">
      <c r="A674" t="s">
        <v>708</v>
      </c>
      <c r="B674" t="s">
        <v>28</v>
      </c>
      <c r="C674">
        <v>81</v>
      </c>
      <c r="D674" t="s">
        <v>13</v>
      </c>
      <c r="E674" s="1">
        <v>45156</v>
      </c>
      <c r="F674">
        <v>21</v>
      </c>
      <c r="G674">
        <v>4.9000000000000004</v>
      </c>
      <c r="H674" t="str">
        <f>TEXT(calls[[#This Row],[Date of Call]],"DDDD")</f>
        <v>Friday</v>
      </c>
      <c r="I674">
        <f>ROUND(calls[[#This Row],[Satisfaction Rating]],0)</f>
        <v>5</v>
      </c>
      <c r="N674" t="str" cm="1">
        <f t="array" ref="N674">_xlfn.IFS(_xlfn.SINGLE(calls[Duration])&lt;30,"UNDER 30 MINS",_xlfn.SINGLE(calls[Duration])&lt;60,"30 T0 60 MINS",_xlfn.SINGLE(calls[Duration])&lt;120,"1 TO 2 HRS",TRUE,"ABOVE 2 HRS")</f>
        <v>1 TO 2 HRS</v>
      </c>
    </row>
    <row r="675" spans="1:14" x14ac:dyDescent="0.3">
      <c r="A675" t="s">
        <v>709</v>
      </c>
      <c r="B675" t="s">
        <v>41</v>
      </c>
      <c r="C675">
        <v>66</v>
      </c>
      <c r="D675" t="s">
        <v>36</v>
      </c>
      <c r="E675" s="1">
        <v>45157</v>
      </c>
      <c r="F675">
        <v>120</v>
      </c>
      <c r="G675">
        <v>4.5</v>
      </c>
      <c r="H675" t="str">
        <f>TEXT(calls[[#This Row],[Date of Call]],"DDDD")</f>
        <v>Saturday</v>
      </c>
      <c r="I675">
        <f>ROUND(calls[[#This Row],[Satisfaction Rating]],0)</f>
        <v>5</v>
      </c>
      <c r="N675" t="str" cm="1">
        <f t="array" ref="N675">_xlfn.IFS(_xlfn.SINGLE(calls[Duration])&lt;30,"UNDER 30 MINS",_xlfn.SINGLE(calls[Duration])&lt;60,"30 T0 60 MINS",_xlfn.SINGLE(calls[Duration])&lt;120,"1 TO 2 HRS",TRUE,"ABOVE 2 HRS")</f>
        <v>1 TO 2 HRS</v>
      </c>
    </row>
    <row r="676" spans="1:14" x14ac:dyDescent="0.3">
      <c r="A676" t="s">
        <v>710</v>
      </c>
      <c r="B676" t="s">
        <v>33</v>
      </c>
      <c r="C676">
        <v>61</v>
      </c>
      <c r="D676" t="s">
        <v>29</v>
      </c>
      <c r="E676" s="1">
        <v>45157</v>
      </c>
      <c r="F676">
        <v>93</v>
      </c>
      <c r="G676">
        <v>2.7</v>
      </c>
      <c r="H676" t="str">
        <f>TEXT(calls[[#This Row],[Date of Call]],"DDDD")</f>
        <v>Saturday</v>
      </c>
      <c r="I676">
        <f>ROUND(calls[[#This Row],[Satisfaction Rating]],0)</f>
        <v>3</v>
      </c>
      <c r="N676" t="str" cm="1">
        <f t="array" ref="N676">_xlfn.IFS(_xlfn.SINGLE(calls[Duration])&lt;30,"UNDER 30 MINS",_xlfn.SINGLE(calls[Duration])&lt;60,"30 T0 60 MINS",_xlfn.SINGLE(calls[Duration])&lt;120,"1 TO 2 HRS",TRUE,"ABOVE 2 HRS")</f>
        <v>1 TO 2 HRS</v>
      </c>
    </row>
    <row r="677" spans="1:14" x14ac:dyDescent="0.3">
      <c r="A677" t="s">
        <v>711</v>
      </c>
      <c r="B677" t="s">
        <v>28</v>
      </c>
      <c r="C677">
        <v>128</v>
      </c>
      <c r="D677" t="s">
        <v>29</v>
      </c>
      <c r="E677" s="1">
        <v>45157</v>
      </c>
      <c r="F677">
        <v>135</v>
      </c>
      <c r="G677">
        <v>2.1</v>
      </c>
      <c r="H677" t="str">
        <f>TEXT(calls[[#This Row],[Date of Call]],"DDDD")</f>
        <v>Saturday</v>
      </c>
      <c r="I677">
        <f>ROUND(calls[[#This Row],[Satisfaction Rating]],0)</f>
        <v>2</v>
      </c>
      <c r="N677" t="str" cm="1">
        <f t="array" ref="N677">_xlfn.IFS(_xlfn.SINGLE(calls[Duration])&lt;30,"UNDER 30 MINS",_xlfn.SINGLE(calls[Duration])&lt;60,"30 T0 60 MINS",_xlfn.SINGLE(calls[Duration])&lt;120,"1 TO 2 HRS",TRUE,"ABOVE 2 HRS")</f>
        <v>ABOVE 2 HRS</v>
      </c>
    </row>
    <row r="678" spans="1:14" x14ac:dyDescent="0.3">
      <c r="A678" t="s">
        <v>712</v>
      </c>
      <c r="B678" t="s">
        <v>46</v>
      </c>
      <c r="C678">
        <v>30</v>
      </c>
      <c r="D678" t="s">
        <v>13</v>
      </c>
      <c r="E678" s="1">
        <v>45157</v>
      </c>
      <c r="F678">
        <v>210</v>
      </c>
      <c r="G678">
        <v>4.2</v>
      </c>
      <c r="H678" t="str">
        <f>TEXT(calls[[#This Row],[Date of Call]],"DDDD")</f>
        <v>Saturday</v>
      </c>
      <c r="I678">
        <f>ROUND(calls[[#This Row],[Satisfaction Rating]],0)</f>
        <v>4</v>
      </c>
      <c r="N678" t="str" cm="1">
        <f t="array" ref="N678">_xlfn.IFS(_xlfn.SINGLE(calls[Duration])&lt;30,"UNDER 30 MINS",_xlfn.SINGLE(calls[Duration])&lt;60,"30 T0 60 MINS",_xlfn.SINGLE(calls[Duration])&lt;120,"1 TO 2 HRS",TRUE,"ABOVE 2 HRS")</f>
        <v>30 T0 60 MINS</v>
      </c>
    </row>
    <row r="679" spans="1:14" x14ac:dyDescent="0.3">
      <c r="A679" t="s">
        <v>713</v>
      </c>
      <c r="B679" t="s">
        <v>37</v>
      </c>
      <c r="C679">
        <v>63</v>
      </c>
      <c r="D679" t="s">
        <v>29</v>
      </c>
      <c r="E679" s="1">
        <v>45158</v>
      </c>
      <c r="F679">
        <v>29</v>
      </c>
      <c r="G679">
        <v>4.7</v>
      </c>
      <c r="H679" t="str">
        <f>TEXT(calls[[#This Row],[Date of Call]],"DDDD")</f>
        <v>Sunday</v>
      </c>
      <c r="I679">
        <f>ROUND(calls[[#This Row],[Satisfaction Rating]],0)</f>
        <v>5</v>
      </c>
      <c r="N679" t="str" cm="1">
        <f t="array" ref="N679">_xlfn.IFS(_xlfn.SINGLE(calls[Duration])&lt;30,"UNDER 30 MINS",_xlfn.SINGLE(calls[Duration])&lt;60,"30 T0 60 MINS",_xlfn.SINGLE(calls[Duration])&lt;120,"1 TO 2 HRS",TRUE,"ABOVE 2 HRS")</f>
        <v>1 TO 2 HRS</v>
      </c>
    </row>
    <row r="680" spans="1:14" x14ac:dyDescent="0.3">
      <c r="A680" t="s">
        <v>714</v>
      </c>
      <c r="B680" t="s">
        <v>19</v>
      </c>
      <c r="C680">
        <v>64</v>
      </c>
      <c r="D680" t="s">
        <v>42</v>
      </c>
      <c r="E680" s="1">
        <v>45158</v>
      </c>
      <c r="F680">
        <v>111</v>
      </c>
      <c r="G680">
        <v>3.9</v>
      </c>
      <c r="H680" t="str">
        <f>TEXT(calls[[#This Row],[Date of Call]],"DDDD")</f>
        <v>Sunday</v>
      </c>
      <c r="I680">
        <f>ROUND(calls[[#This Row],[Satisfaction Rating]],0)</f>
        <v>4</v>
      </c>
      <c r="N680" t="str" cm="1">
        <f t="array" ref="N680">_xlfn.IFS(_xlfn.SINGLE(calls[Duration])&lt;30,"UNDER 30 MINS",_xlfn.SINGLE(calls[Duration])&lt;60,"30 T0 60 MINS",_xlfn.SINGLE(calls[Duration])&lt;120,"1 TO 2 HRS",TRUE,"ABOVE 2 HRS")</f>
        <v>1 TO 2 HRS</v>
      </c>
    </row>
    <row r="681" spans="1:14" x14ac:dyDescent="0.3">
      <c r="A681" t="s">
        <v>715</v>
      </c>
      <c r="B681" t="s">
        <v>26</v>
      </c>
      <c r="C681">
        <v>151</v>
      </c>
      <c r="D681" t="s">
        <v>23</v>
      </c>
      <c r="E681" s="1">
        <v>45159</v>
      </c>
      <c r="F681">
        <v>63</v>
      </c>
      <c r="G681">
        <v>4.0999999999999996</v>
      </c>
      <c r="H681" t="str">
        <f>TEXT(calls[[#This Row],[Date of Call]],"DDDD")</f>
        <v>Monday</v>
      </c>
      <c r="I681">
        <f>ROUND(calls[[#This Row],[Satisfaction Rating]],0)</f>
        <v>4</v>
      </c>
      <c r="N681" t="str" cm="1">
        <f t="array" ref="N681">_xlfn.IFS(_xlfn.SINGLE(calls[Duration])&lt;30,"UNDER 30 MINS",_xlfn.SINGLE(calls[Duration])&lt;60,"30 T0 60 MINS",_xlfn.SINGLE(calls[Duration])&lt;120,"1 TO 2 HRS",TRUE,"ABOVE 2 HRS")</f>
        <v>ABOVE 2 HRS</v>
      </c>
    </row>
    <row r="682" spans="1:14" x14ac:dyDescent="0.3">
      <c r="A682" t="s">
        <v>716</v>
      </c>
      <c r="B682" t="s">
        <v>14</v>
      </c>
      <c r="C682">
        <v>116</v>
      </c>
      <c r="D682" t="s">
        <v>36</v>
      </c>
      <c r="E682" s="1">
        <v>45159</v>
      </c>
      <c r="F682">
        <v>44</v>
      </c>
      <c r="G682">
        <v>3.8</v>
      </c>
      <c r="H682" t="str">
        <f>TEXT(calls[[#This Row],[Date of Call]],"DDDD")</f>
        <v>Monday</v>
      </c>
      <c r="I682">
        <f>ROUND(calls[[#This Row],[Satisfaction Rating]],0)</f>
        <v>4</v>
      </c>
      <c r="N682" t="str" cm="1">
        <f t="array" ref="N682">_xlfn.IFS(_xlfn.SINGLE(calls[Duration])&lt;30,"UNDER 30 MINS",_xlfn.SINGLE(calls[Duration])&lt;60,"30 T0 60 MINS",_xlfn.SINGLE(calls[Duration])&lt;120,"1 TO 2 HRS",TRUE,"ABOVE 2 HRS")</f>
        <v>1 TO 2 HRS</v>
      </c>
    </row>
    <row r="683" spans="1:14" x14ac:dyDescent="0.3">
      <c r="A683" t="s">
        <v>717</v>
      </c>
      <c r="B683" t="s">
        <v>26</v>
      </c>
      <c r="C683">
        <v>111</v>
      </c>
      <c r="D683" t="s">
        <v>36</v>
      </c>
      <c r="E683" s="1">
        <v>45161</v>
      </c>
      <c r="F683">
        <v>120</v>
      </c>
      <c r="G683">
        <v>1.8</v>
      </c>
      <c r="H683" t="str">
        <f>TEXT(calls[[#This Row],[Date of Call]],"DDDD")</f>
        <v>Wednesday</v>
      </c>
      <c r="I683">
        <f>ROUND(calls[[#This Row],[Satisfaction Rating]],0)</f>
        <v>2</v>
      </c>
      <c r="N683" t="str" cm="1">
        <f t="array" ref="N683">_xlfn.IFS(_xlfn.SINGLE(calls[Duration])&lt;30,"UNDER 30 MINS",_xlfn.SINGLE(calls[Duration])&lt;60,"30 T0 60 MINS",_xlfn.SINGLE(calls[Duration])&lt;120,"1 TO 2 HRS",TRUE,"ABOVE 2 HRS")</f>
        <v>1 TO 2 HRS</v>
      </c>
    </row>
    <row r="684" spans="1:14" x14ac:dyDescent="0.3">
      <c r="A684" t="s">
        <v>718</v>
      </c>
      <c r="B684" t="s">
        <v>28</v>
      </c>
      <c r="C684">
        <v>15</v>
      </c>
      <c r="D684" t="s">
        <v>36</v>
      </c>
      <c r="E684" s="1">
        <v>45161</v>
      </c>
      <c r="F684">
        <v>120</v>
      </c>
      <c r="G684">
        <v>4.0999999999999996</v>
      </c>
      <c r="H684" t="str">
        <f>TEXT(calls[[#This Row],[Date of Call]],"DDDD")</f>
        <v>Wednesday</v>
      </c>
      <c r="I684">
        <f>ROUND(calls[[#This Row],[Satisfaction Rating]],0)</f>
        <v>4</v>
      </c>
      <c r="N684" t="str" cm="1">
        <f t="array" ref="N684">_xlfn.IFS(_xlfn.SINGLE(calls[Duration])&lt;30,"UNDER 30 MINS",_xlfn.SINGLE(calls[Duration])&lt;60,"30 T0 60 MINS",_xlfn.SINGLE(calls[Duration])&lt;120,"1 TO 2 HRS",TRUE,"ABOVE 2 HRS")</f>
        <v>UNDER 30 MINS</v>
      </c>
    </row>
    <row r="685" spans="1:14" x14ac:dyDescent="0.3">
      <c r="A685" t="s">
        <v>719</v>
      </c>
      <c r="B685" t="s">
        <v>19</v>
      </c>
      <c r="C685">
        <v>18</v>
      </c>
      <c r="D685" t="s">
        <v>23</v>
      </c>
      <c r="E685" s="1">
        <v>45162</v>
      </c>
      <c r="F685">
        <v>40</v>
      </c>
      <c r="G685">
        <v>4.4000000000000004</v>
      </c>
      <c r="H685" t="str">
        <f>TEXT(calls[[#This Row],[Date of Call]],"DDDD")</f>
        <v>Thursday</v>
      </c>
      <c r="I685">
        <f>ROUND(calls[[#This Row],[Satisfaction Rating]],0)</f>
        <v>4</v>
      </c>
      <c r="N685" t="str" cm="1">
        <f t="array" ref="N685">_xlfn.IFS(_xlfn.SINGLE(calls[Duration])&lt;30,"UNDER 30 MINS",_xlfn.SINGLE(calls[Duration])&lt;60,"30 T0 60 MINS",_xlfn.SINGLE(calls[Duration])&lt;120,"1 TO 2 HRS",TRUE,"ABOVE 2 HRS")</f>
        <v>UNDER 30 MINS</v>
      </c>
    </row>
    <row r="686" spans="1:14" x14ac:dyDescent="0.3">
      <c r="A686" t="s">
        <v>720</v>
      </c>
      <c r="B686" t="s">
        <v>33</v>
      </c>
      <c r="C686">
        <v>146</v>
      </c>
      <c r="D686" t="s">
        <v>29</v>
      </c>
      <c r="E686" s="1">
        <v>45162</v>
      </c>
      <c r="F686">
        <v>160</v>
      </c>
      <c r="G686">
        <v>4.0999999999999996</v>
      </c>
      <c r="H686" t="str">
        <f>TEXT(calls[[#This Row],[Date of Call]],"DDDD")</f>
        <v>Thursday</v>
      </c>
      <c r="I686">
        <f>ROUND(calls[[#This Row],[Satisfaction Rating]],0)</f>
        <v>4</v>
      </c>
      <c r="N686" t="str" cm="1">
        <f t="array" ref="N686">_xlfn.IFS(_xlfn.SINGLE(calls[Duration])&lt;30,"UNDER 30 MINS",_xlfn.SINGLE(calls[Duration])&lt;60,"30 T0 60 MINS",_xlfn.SINGLE(calls[Duration])&lt;120,"1 TO 2 HRS",TRUE,"ABOVE 2 HRS")</f>
        <v>ABOVE 2 HRS</v>
      </c>
    </row>
    <row r="687" spans="1:14" x14ac:dyDescent="0.3">
      <c r="A687" t="s">
        <v>721</v>
      </c>
      <c r="B687" t="s">
        <v>46</v>
      </c>
      <c r="C687">
        <v>73</v>
      </c>
      <c r="D687" t="s">
        <v>36</v>
      </c>
      <c r="E687" s="1">
        <v>45163</v>
      </c>
      <c r="F687">
        <v>44</v>
      </c>
      <c r="G687">
        <v>3.8</v>
      </c>
      <c r="H687" t="str">
        <f>TEXT(calls[[#This Row],[Date of Call]],"DDDD")</f>
        <v>Friday</v>
      </c>
      <c r="I687">
        <f>ROUND(calls[[#This Row],[Satisfaction Rating]],0)</f>
        <v>4</v>
      </c>
      <c r="N687" t="str" cm="1">
        <f t="array" ref="N687">_xlfn.IFS(_xlfn.SINGLE(calls[Duration])&lt;30,"UNDER 30 MINS",_xlfn.SINGLE(calls[Duration])&lt;60,"30 T0 60 MINS",_xlfn.SINGLE(calls[Duration])&lt;120,"1 TO 2 HRS",TRUE,"ABOVE 2 HRS")</f>
        <v>1 TO 2 HRS</v>
      </c>
    </row>
    <row r="688" spans="1:14" x14ac:dyDescent="0.3">
      <c r="A688" t="s">
        <v>722</v>
      </c>
      <c r="B688" t="s">
        <v>26</v>
      </c>
      <c r="C688">
        <v>108</v>
      </c>
      <c r="D688" t="s">
        <v>23</v>
      </c>
      <c r="E688" s="1">
        <v>45163</v>
      </c>
      <c r="F688">
        <v>80</v>
      </c>
      <c r="G688">
        <v>4.3</v>
      </c>
      <c r="H688" t="str">
        <f>TEXT(calls[[#This Row],[Date of Call]],"DDDD")</f>
        <v>Friday</v>
      </c>
      <c r="I688">
        <f>ROUND(calls[[#This Row],[Satisfaction Rating]],0)</f>
        <v>4</v>
      </c>
      <c r="N688" t="str" cm="1">
        <f t="array" ref="N688">_xlfn.IFS(_xlfn.SINGLE(calls[Duration])&lt;30,"UNDER 30 MINS",_xlfn.SINGLE(calls[Duration])&lt;60,"30 T0 60 MINS",_xlfn.SINGLE(calls[Duration])&lt;120,"1 TO 2 HRS",TRUE,"ABOVE 2 HRS")</f>
        <v>1 TO 2 HRS</v>
      </c>
    </row>
    <row r="689" spans="1:14" x14ac:dyDescent="0.3">
      <c r="A689" t="s">
        <v>723</v>
      </c>
      <c r="B689" t="s">
        <v>31</v>
      </c>
      <c r="C689">
        <v>52</v>
      </c>
      <c r="D689" t="s">
        <v>23</v>
      </c>
      <c r="E689" s="1">
        <v>45164</v>
      </c>
      <c r="F689">
        <v>66</v>
      </c>
      <c r="G689">
        <v>4.5</v>
      </c>
      <c r="H689" t="str">
        <f>TEXT(calls[[#This Row],[Date of Call]],"DDDD")</f>
        <v>Saturday</v>
      </c>
      <c r="I689">
        <f>ROUND(calls[[#This Row],[Satisfaction Rating]],0)</f>
        <v>5</v>
      </c>
      <c r="N689" t="str" cm="1">
        <f t="array" ref="N689">_xlfn.IFS(_xlfn.SINGLE(calls[Duration])&lt;30,"UNDER 30 MINS",_xlfn.SINGLE(calls[Duration])&lt;60,"30 T0 60 MINS",_xlfn.SINGLE(calls[Duration])&lt;120,"1 TO 2 HRS",TRUE,"ABOVE 2 HRS")</f>
        <v>30 T0 60 MINS</v>
      </c>
    </row>
    <row r="690" spans="1:14" x14ac:dyDescent="0.3">
      <c r="A690" t="s">
        <v>724</v>
      </c>
      <c r="B690" t="s">
        <v>14</v>
      </c>
      <c r="C690">
        <v>165</v>
      </c>
      <c r="D690" t="s">
        <v>42</v>
      </c>
      <c r="E690" s="1">
        <v>45164</v>
      </c>
      <c r="F690">
        <v>82</v>
      </c>
      <c r="G690">
        <v>3.4</v>
      </c>
      <c r="H690" t="str">
        <f>TEXT(calls[[#This Row],[Date of Call]],"DDDD")</f>
        <v>Saturday</v>
      </c>
      <c r="I690">
        <f>ROUND(calls[[#This Row],[Satisfaction Rating]],0)</f>
        <v>3</v>
      </c>
      <c r="N690" t="str" cm="1">
        <f t="array" ref="N690">_xlfn.IFS(_xlfn.SINGLE(calls[Duration])&lt;30,"UNDER 30 MINS",_xlfn.SINGLE(calls[Duration])&lt;60,"30 T0 60 MINS",_xlfn.SINGLE(calls[Duration])&lt;120,"1 TO 2 HRS",TRUE,"ABOVE 2 HRS")</f>
        <v>ABOVE 2 HRS</v>
      </c>
    </row>
    <row r="691" spans="1:14" x14ac:dyDescent="0.3">
      <c r="A691" t="s">
        <v>725</v>
      </c>
      <c r="B691" t="s">
        <v>33</v>
      </c>
      <c r="C691">
        <v>104</v>
      </c>
      <c r="D691" t="s">
        <v>36</v>
      </c>
      <c r="E691" s="1">
        <v>45164</v>
      </c>
      <c r="F691">
        <v>66</v>
      </c>
      <c r="G691">
        <v>4.8</v>
      </c>
      <c r="H691" t="str">
        <f>TEXT(calls[[#This Row],[Date of Call]],"DDDD")</f>
        <v>Saturday</v>
      </c>
      <c r="I691">
        <f>ROUND(calls[[#This Row],[Satisfaction Rating]],0)</f>
        <v>5</v>
      </c>
      <c r="N691" t="str" cm="1">
        <f t="array" ref="N691">_xlfn.IFS(_xlfn.SINGLE(calls[Duration])&lt;30,"UNDER 30 MINS",_xlfn.SINGLE(calls[Duration])&lt;60,"30 T0 60 MINS",_xlfn.SINGLE(calls[Duration])&lt;120,"1 TO 2 HRS",TRUE,"ABOVE 2 HRS")</f>
        <v>1 TO 2 HRS</v>
      </c>
    </row>
    <row r="692" spans="1:14" x14ac:dyDescent="0.3">
      <c r="A692" t="s">
        <v>726</v>
      </c>
      <c r="B692" t="s">
        <v>46</v>
      </c>
      <c r="C692">
        <v>131</v>
      </c>
      <c r="D692" t="s">
        <v>29</v>
      </c>
      <c r="E692" s="1">
        <v>45164</v>
      </c>
      <c r="F692">
        <v>92</v>
      </c>
      <c r="G692">
        <v>4.9000000000000004</v>
      </c>
      <c r="H692" t="str">
        <f>TEXT(calls[[#This Row],[Date of Call]],"DDDD")</f>
        <v>Saturday</v>
      </c>
      <c r="I692">
        <f>ROUND(calls[[#This Row],[Satisfaction Rating]],0)</f>
        <v>5</v>
      </c>
      <c r="N692" t="str" cm="1">
        <f t="array" ref="N692">_xlfn.IFS(_xlfn.SINGLE(calls[Duration])&lt;30,"UNDER 30 MINS",_xlfn.SINGLE(calls[Duration])&lt;60,"30 T0 60 MINS",_xlfn.SINGLE(calls[Duration])&lt;120,"1 TO 2 HRS",TRUE,"ABOVE 2 HRS")</f>
        <v>ABOVE 2 HRS</v>
      </c>
    </row>
    <row r="693" spans="1:14" x14ac:dyDescent="0.3">
      <c r="A693" t="s">
        <v>727</v>
      </c>
      <c r="B693" t="s">
        <v>50</v>
      </c>
      <c r="C693">
        <v>80</v>
      </c>
      <c r="D693" t="s">
        <v>42</v>
      </c>
      <c r="E693" s="1">
        <v>45165</v>
      </c>
      <c r="F693">
        <v>104</v>
      </c>
      <c r="G693">
        <v>4.7</v>
      </c>
      <c r="H693" t="str">
        <f>TEXT(calls[[#This Row],[Date of Call]],"DDDD")</f>
        <v>Sunday</v>
      </c>
      <c r="I693">
        <f>ROUND(calls[[#This Row],[Satisfaction Rating]],0)</f>
        <v>5</v>
      </c>
      <c r="N693" t="str" cm="1">
        <f t="array" ref="N693">_xlfn.IFS(_xlfn.SINGLE(calls[Duration])&lt;30,"UNDER 30 MINS",_xlfn.SINGLE(calls[Duration])&lt;60,"30 T0 60 MINS",_xlfn.SINGLE(calls[Duration])&lt;120,"1 TO 2 HRS",TRUE,"ABOVE 2 HRS")</f>
        <v>1 TO 2 HRS</v>
      </c>
    </row>
    <row r="694" spans="1:14" x14ac:dyDescent="0.3">
      <c r="A694" t="s">
        <v>728</v>
      </c>
      <c r="B694" t="s">
        <v>28</v>
      </c>
      <c r="C694">
        <v>49</v>
      </c>
      <c r="D694" t="s">
        <v>36</v>
      </c>
      <c r="E694" s="1">
        <v>45165</v>
      </c>
      <c r="F694">
        <v>105</v>
      </c>
      <c r="G694">
        <v>3.3</v>
      </c>
      <c r="H694" t="str">
        <f>TEXT(calls[[#This Row],[Date of Call]],"DDDD")</f>
        <v>Sunday</v>
      </c>
      <c r="I694">
        <f>ROUND(calls[[#This Row],[Satisfaction Rating]],0)</f>
        <v>3</v>
      </c>
      <c r="N694" t="str" cm="1">
        <f t="array" ref="N694">_xlfn.IFS(_xlfn.SINGLE(calls[Duration])&lt;30,"UNDER 30 MINS",_xlfn.SINGLE(calls[Duration])&lt;60,"30 T0 60 MINS",_xlfn.SINGLE(calls[Duration])&lt;120,"1 TO 2 HRS",TRUE,"ABOVE 2 HRS")</f>
        <v>30 T0 60 MINS</v>
      </c>
    </row>
    <row r="695" spans="1:14" x14ac:dyDescent="0.3">
      <c r="A695" t="s">
        <v>729</v>
      </c>
      <c r="B695" t="s">
        <v>14</v>
      </c>
      <c r="C695">
        <v>73</v>
      </c>
      <c r="D695" t="s">
        <v>36</v>
      </c>
      <c r="E695" s="1">
        <v>45165</v>
      </c>
      <c r="F695">
        <v>100</v>
      </c>
      <c r="G695">
        <v>2.8</v>
      </c>
      <c r="H695" t="str">
        <f>TEXT(calls[[#This Row],[Date of Call]],"DDDD")</f>
        <v>Sunday</v>
      </c>
      <c r="I695">
        <f>ROUND(calls[[#This Row],[Satisfaction Rating]],0)</f>
        <v>3</v>
      </c>
      <c r="N695" t="str" cm="1">
        <f t="array" ref="N695">_xlfn.IFS(_xlfn.SINGLE(calls[Duration])&lt;30,"UNDER 30 MINS",_xlfn.SINGLE(calls[Duration])&lt;60,"30 T0 60 MINS",_xlfn.SINGLE(calls[Duration])&lt;120,"1 TO 2 HRS",TRUE,"ABOVE 2 HRS")</f>
        <v>1 TO 2 HRS</v>
      </c>
    </row>
    <row r="696" spans="1:14" x14ac:dyDescent="0.3">
      <c r="A696" t="s">
        <v>730</v>
      </c>
      <c r="B696" t="s">
        <v>33</v>
      </c>
      <c r="C696">
        <v>117</v>
      </c>
      <c r="D696" t="s">
        <v>42</v>
      </c>
      <c r="E696" s="1">
        <v>45165</v>
      </c>
      <c r="F696">
        <v>90</v>
      </c>
      <c r="G696">
        <v>4.0999999999999996</v>
      </c>
      <c r="H696" t="str">
        <f>TEXT(calls[[#This Row],[Date of Call]],"DDDD")</f>
        <v>Sunday</v>
      </c>
      <c r="I696">
        <f>ROUND(calls[[#This Row],[Satisfaction Rating]],0)</f>
        <v>4</v>
      </c>
      <c r="N696" t="str" cm="1">
        <f t="array" ref="N696">_xlfn.IFS(_xlfn.SINGLE(calls[Duration])&lt;30,"UNDER 30 MINS",_xlfn.SINGLE(calls[Duration])&lt;60,"30 T0 60 MINS",_xlfn.SINGLE(calls[Duration])&lt;120,"1 TO 2 HRS",TRUE,"ABOVE 2 HRS")</f>
        <v>1 TO 2 HRS</v>
      </c>
    </row>
    <row r="697" spans="1:14" x14ac:dyDescent="0.3">
      <c r="A697" t="s">
        <v>731</v>
      </c>
      <c r="B697" t="s">
        <v>22</v>
      </c>
      <c r="C697">
        <v>38</v>
      </c>
      <c r="D697" t="s">
        <v>13</v>
      </c>
      <c r="E697" s="1">
        <v>45165</v>
      </c>
      <c r="F697">
        <v>110</v>
      </c>
      <c r="G697">
        <v>3.5</v>
      </c>
      <c r="H697" t="str">
        <f>TEXT(calls[[#This Row],[Date of Call]],"DDDD")</f>
        <v>Sunday</v>
      </c>
      <c r="I697">
        <f>ROUND(calls[[#This Row],[Satisfaction Rating]],0)</f>
        <v>4</v>
      </c>
      <c r="N697" t="str" cm="1">
        <f t="array" ref="N697">_xlfn.IFS(_xlfn.SINGLE(calls[Duration])&lt;30,"UNDER 30 MINS",_xlfn.SINGLE(calls[Duration])&lt;60,"30 T0 60 MINS",_xlfn.SINGLE(calls[Duration])&lt;120,"1 TO 2 HRS",TRUE,"ABOVE 2 HRS")</f>
        <v>30 T0 60 MINS</v>
      </c>
    </row>
    <row r="698" spans="1:14" x14ac:dyDescent="0.3">
      <c r="A698" t="s">
        <v>732</v>
      </c>
      <c r="B698" t="s">
        <v>31</v>
      </c>
      <c r="C698">
        <v>109</v>
      </c>
      <c r="D698" t="s">
        <v>42</v>
      </c>
      <c r="E698" s="1">
        <v>45167</v>
      </c>
      <c r="F698">
        <v>68</v>
      </c>
      <c r="G698">
        <v>2.2999999999999998</v>
      </c>
      <c r="H698" t="str">
        <f>TEXT(calls[[#This Row],[Date of Call]],"DDDD")</f>
        <v>Tuesday</v>
      </c>
      <c r="I698">
        <f>ROUND(calls[[#This Row],[Satisfaction Rating]],0)</f>
        <v>2</v>
      </c>
      <c r="N698" t="str" cm="1">
        <f t="array" ref="N698">_xlfn.IFS(_xlfn.SINGLE(calls[Duration])&lt;30,"UNDER 30 MINS",_xlfn.SINGLE(calls[Duration])&lt;60,"30 T0 60 MINS",_xlfn.SINGLE(calls[Duration])&lt;120,"1 TO 2 HRS",TRUE,"ABOVE 2 HRS")</f>
        <v>1 TO 2 HRS</v>
      </c>
    </row>
    <row r="699" spans="1:14" x14ac:dyDescent="0.3">
      <c r="A699" t="s">
        <v>733</v>
      </c>
      <c r="B699" t="s">
        <v>28</v>
      </c>
      <c r="C699">
        <v>70</v>
      </c>
      <c r="D699" t="s">
        <v>23</v>
      </c>
      <c r="E699" s="1">
        <v>45168</v>
      </c>
      <c r="F699">
        <v>210</v>
      </c>
      <c r="G699">
        <v>4.0999999999999996</v>
      </c>
      <c r="H699" t="str">
        <f>TEXT(calls[[#This Row],[Date of Call]],"DDDD")</f>
        <v>Wednesday</v>
      </c>
      <c r="I699">
        <f>ROUND(calls[[#This Row],[Satisfaction Rating]],0)</f>
        <v>4</v>
      </c>
      <c r="N699" t="str" cm="1">
        <f t="array" ref="N699">_xlfn.IFS(_xlfn.SINGLE(calls[Duration])&lt;30,"UNDER 30 MINS",_xlfn.SINGLE(calls[Duration])&lt;60,"30 T0 60 MINS",_xlfn.SINGLE(calls[Duration])&lt;120,"1 TO 2 HRS",TRUE,"ABOVE 2 HRS")</f>
        <v>1 TO 2 HRS</v>
      </c>
    </row>
    <row r="700" spans="1:14" x14ac:dyDescent="0.3">
      <c r="A700" t="s">
        <v>734</v>
      </c>
      <c r="B700" t="s">
        <v>18</v>
      </c>
      <c r="C700">
        <v>51</v>
      </c>
      <c r="D700" t="s">
        <v>13</v>
      </c>
      <c r="E700" s="1">
        <v>45168</v>
      </c>
      <c r="F700">
        <v>111</v>
      </c>
      <c r="G700">
        <v>4.3</v>
      </c>
      <c r="H700" t="str">
        <f>TEXT(calls[[#This Row],[Date of Call]],"DDDD")</f>
        <v>Wednesday</v>
      </c>
      <c r="I700">
        <f>ROUND(calls[[#This Row],[Satisfaction Rating]],0)</f>
        <v>4</v>
      </c>
      <c r="N700" t="str" cm="1">
        <f t="array" ref="N700">_xlfn.IFS(_xlfn.SINGLE(calls[Duration])&lt;30,"UNDER 30 MINS",_xlfn.SINGLE(calls[Duration])&lt;60,"30 T0 60 MINS",_xlfn.SINGLE(calls[Duration])&lt;120,"1 TO 2 HRS",TRUE,"ABOVE 2 HRS")</f>
        <v>30 T0 60 MINS</v>
      </c>
    </row>
    <row r="701" spans="1:14" x14ac:dyDescent="0.3">
      <c r="A701" t="s">
        <v>735</v>
      </c>
      <c r="B701" t="s">
        <v>18</v>
      </c>
      <c r="C701">
        <v>100</v>
      </c>
      <c r="D701" t="s">
        <v>23</v>
      </c>
      <c r="E701" s="1">
        <v>45169</v>
      </c>
      <c r="F701">
        <v>45</v>
      </c>
      <c r="G701">
        <v>4.9000000000000004</v>
      </c>
      <c r="H701" t="str">
        <f>TEXT(calls[[#This Row],[Date of Call]],"DDDD")</f>
        <v>Thursday</v>
      </c>
      <c r="I701">
        <f>ROUND(calls[[#This Row],[Satisfaction Rating]],0)</f>
        <v>5</v>
      </c>
      <c r="N701" t="str" cm="1">
        <f t="array" ref="N701">_xlfn.IFS(_xlfn.SINGLE(calls[Duration])&lt;30,"UNDER 30 MINS",_xlfn.SINGLE(calls[Duration])&lt;60,"30 T0 60 MINS",_xlfn.SINGLE(calls[Duration])&lt;120,"1 TO 2 HRS",TRUE,"ABOVE 2 HRS")</f>
        <v>1 TO 2 HRS</v>
      </c>
    </row>
    <row r="702" spans="1:14" x14ac:dyDescent="0.3">
      <c r="A702" t="s">
        <v>736</v>
      </c>
      <c r="B702" t="s">
        <v>45</v>
      </c>
      <c r="C702">
        <v>124</v>
      </c>
      <c r="D702" t="s">
        <v>13</v>
      </c>
      <c r="E702" s="1">
        <v>45170</v>
      </c>
      <c r="F702">
        <v>132</v>
      </c>
      <c r="G702">
        <v>4</v>
      </c>
      <c r="H702" t="str">
        <f>TEXT(calls[[#This Row],[Date of Call]],"DDDD")</f>
        <v>Friday</v>
      </c>
      <c r="I702">
        <f>ROUND(calls[[#This Row],[Satisfaction Rating]],0)</f>
        <v>4</v>
      </c>
      <c r="N702" t="str" cm="1">
        <f t="array" ref="N702">_xlfn.IFS(_xlfn.SINGLE(calls[Duration])&lt;30,"UNDER 30 MINS",_xlfn.SINGLE(calls[Duration])&lt;60,"30 T0 60 MINS",_xlfn.SINGLE(calls[Duration])&lt;120,"1 TO 2 HRS",TRUE,"ABOVE 2 HRS")</f>
        <v>ABOVE 2 HRS</v>
      </c>
    </row>
    <row r="703" spans="1:14" x14ac:dyDescent="0.3">
      <c r="A703" t="s">
        <v>737</v>
      </c>
      <c r="B703" t="s">
        <v>12</v>
      </c>
      <c r="C703">
        <v>143</v>
      </c>
      <c r="D703" t="s">
        <v>42</v>
      </c>
      <c r="E703" s="1">
        <v>45170</v>
      </c>
      <c r="F703">
        <v>20</v>
      </c>
      <c r="G703">
        <v>4.7</v>
      </c>
      <c r="H703" t="str">
        <f>TEXT(calls[[#This Row],[Date of Call]],"DDDD")</f>
        <v>Friday</v>
      </c>
      <c r="I703">
        <f>ROUND(calls[[#This Row],[Satisfaction Rating]],0)</f>
        <v>5</v>
      </c>
      <c r="N703" t="str" cm="1">
        <f t="array" ref="N703">_xlfn.IFS(_xlfn.SINGLE(calls[Duration])&lt;30,"UNDER 30 MINS",_xlfn.SINGLE(calls[Duration])&lt;60,"30 T0 60 MINS",_xlfn.SINGLE(calls[Duration])&lt;120,"1 TO 2 HRS",TRUE,"ABOVE 2 HRS")</f>
        <v>ABOVE 2 HRS</v>
      </c>
    </row>
    <row r="704" spans="1:14" x14ac:dyDescent="0.3">
      <c r="A704" t="s">
        <v>738</v>
      </c>
      <c r="B704" t="s">
        <v>41</v>
      </c>
      <c r="C704">
        <v>96</v>
      </c>
      <c r="D704" t="s">
        <v>36</v>
      </c>
      <c r="E704" s="1">
        <v>45170</v>
      </c>
      <c r="F704">
        <v>36</v>
      </c>
      <c r="G704">
        <v>3.4</v>
      </c>
      <c r="H704" t="str">
        <f>TEXT(calls[[#This Row],[Date of Call]],"DDDD")</f>
        <v>Friday</v>
      </c>
      <c r="I704">
        <f>ROUND(calls[[#This Row],[Satisfaction Rating]],0)</f>
        <v>3</v>
      </c>
      <c r="N704" t="str" cm="1">
        <f t="array" ref="N704">_xlfn.IFS(_xlfn.SINGLE(calls[Duration])&lt;30,"UNDER 30 MINS",_xlfn.SINGLE(calls[Duration])&lt;60,"30 T0 60 MINS",_xlfn.SINGLE(calls[Duration])&lt;120,"1 TO 2 HRS",TRUE,"ABOVE 2 HRS")</f>
        <v>1 TO 2 HRS</v>
      </c>
    </row>
    <row r="705" spans="1:14" x14ac:dyDescent="0.3">
      <c r="A705" t="s">
        <v>739</v>
      </c>
      <c r="B705" t="s">
        <v>14</v>
      </c>
      <c r="C705">
        <v>84</v>
      </c>
      <c r="D705" t="s">
        <v>23</v>
      </c>
      <c r="E705" s="1">
        <v>45172</v>
      </c>
      <c r="F705">
        <v>72</v>
      </c>
      <c r="G705">
        <v>4</v>
      </c>
      <c r="H705" t="str">
        <f>TEXT(calls[[#This Row],[Date of Call]],"DDDD")</f>
        <v>Sunday</v>
      </c>
      <c r="I705">
        <f>ROUND(calls[[#This Row],[Satisfaction Rating]],0)</f>
        <v>4</v>
      </c>
      <c r="N705" t="str" cm="1">
        <f t="array" ref="N705">_xlfn.IFS(_xlfn.SINGLE(calls[Duration])&lt;30,"UNDER 30 MINS",_xlfn.SINGLE(calls[Duration])&lt;60,"30 T0 60 MINS",_xlfn.SINGLE(calls[Duration])&lt;120,"1 TO 2 HRS",TRUE,"ABOVE 2 HRS")</f>
        <v>1 TO 2 HRS</v>
      </c>
    </row>
    <row r="706" spans="1:14" x14ac:dyDescent="0.3">
      <c r="A706" t="s">
        <v>740</v>
      </c>
      <c r="B706" t="s">
        <v>39</v>
      </c>
      <c r="C706">
        <v>111</v>
      </c>
      <c r="D706" t="s">
        <v>23</v>
      </c>
      <c r="E706" s="1">
        <v>45172</v>
      </c>
      <c r="F706">
        <v>63</v>
      </c>
      <c r="G706">
        <v>4.5</v>
      </c>
      <c r="H706" t="str">
        <f>TEXT(calls[[#This Row],[Date of Call]],"DDDD")</f>
        <v>Sunday</v>
      </c>
      <c r="I706">
        <f>ROUND(calls[[#This Row],[Satisfaction Rating]],0)</f>
        <v>5</v>
      </c>
      <c r="N706" t="str" cm="1">
        <f t="array" ref="N706">_xlfn.IFS(_xlfn.SINGLE(calls[Duration])&lt;30,"UNDER 30 MINS",_xlfn.SINGLE(calls[Duration])&lt;60,"30 T0 60 MINS",_xlfn.SINGLE(calls[Duration])&lt;120,"1 TO 2 HRS",TRUE,"ABOVE 2 HRS")</f>
        <v>1 TO 2 HRS</v>
      </c>
    </row>
    <row r="707" spans="1:14" x14ac:dyDescent="0.3">
      <c r="A707" t="s">
        <v>741</v>
      </c>
      <c r="B707" t="s">
        <v>39</v>
      </c>
      <c r="C707">
        <v>103</v>
      </c>
      <c r="D707" t="s">
        <v>13</v>
      </c>
      <c r="E707" s="1">
        <v>45173</v>
      </c>
      <c r="F707">
        <v>44</v>
      </c>
      <c r="G707">
        <v>4.5</v>
      </c>
      <c r="H707" t="str">
        <f>TEXT(calls[[#This Row],[Date of Call]],"DDDD")</f>
        <v>Monday</v>
      </c>
      <c r="I707">
        <f>ROUND(calls[[#This Row],[Satisfaction Rating]],0)</f>
        <v>5</v>
      </c>
      <c r="N707" t="str" cm="1">
        <f t="array" ref="N707">_xlfn.IFS(_xlfn.SINGLE(calls[Duration])&lt;30,"UNDER 30 MINS",_xlfn.SINGLE(calls[Duration])&lt;60,"30 T0 60 MINS",_xlfn.SINGLE(calls[Duration])&lt;120,"1 TO 2 HRS",TRUE,"ABOVE 2 HRS")</f>
        <v>1 TO 2 HRS</v>
      </c>
    </row>
    <row r="708" spans="1:14" x14ac:dyDescent="0.3">
      <c r="A708" t="s">
        <v>742</v>
      </c>
      <c r="B708" t="s">
        <v>12</v>
      </c>
      <c r="C708">
        <v>61</v>
      </c>
      <c r="D708" t="s">
        <v>29</v>
      </c>
      <c r="E708" s="1">
        <v>45173</v>
      </c>
      <c r="F708">
        <v>132</v>
      </c>
      <c r="G708">
        <v>4.9000000000000004</v>
      </c>
      <c r="H708" t="str">
        <f>TEXT(calls[[#This Row],[Date of Call]],"DDDD")</f>
        <v>Monday</v>
      </c>
      <c r="I708">
        <f>ROUND(calls[[#This Row],[Satisfaction Rating]],0)</f>
        <v>5</v>
      </c>
      <c r="N708" t="str" cm="1">
        <f t="array" ref="N708">_xlfn.IFS(_xlfn.SINGLE(calls[Duration])&lt;30,"UNDER 30 MINS",_xlfn.SINGLE(calls[Duration])&lt;60,"30 T0 60 MINS",_xlfn.SINGLE(calls[Duration])&lt;120,"1 TO 2 HRS",TRUE,"ABOVE 2 HRS")</f>
        <v>1 TO 2 HRS</v>
      </c>
    </row>
    <row r="709" spans="1:14" x14ac:dyDescent="0.3">
      <c r="A709" t="s">
        <v>743</v>
      </c>
      <c r="B709" t="s">
        <v>46</v>
      </c>
      <c r="C709">
        <v>113</v>
      </c>
      <c r="D709" t="s">
        <v>36</v>
      </c>
      <c r="E709" s="1">
        <v>45173</v>
      </c>
      <c r="F709">
        <v>46</v>
      </c>
      <c r="G709">
        <v>4.4000000000000004</v>
      </c>
      <c r="H709" t="str">
        <f>TEXT(calls[[#This Row],[Date of Call]],"DDDD")</f>
        <v>Monday</v>
      </c>
      <c r="I709">
        <f>ROUND(calls[[#This Row],[Satisfaction Rating]],0)</f>
        <v>4</v>
      </c>
      <c r="N709" t="str" cm="1">
        <f t="array" ref="N709">_xlfn.IFS(_xlfn.SINGLE(calls[Duration])&lt;30,"UNDER 30 MINS",_xlfn.SINGLE(calls[Duration])&lt;60,"30 T0 60 MINS",_xlfn.SINGLE(calls[Duration])&lt;120,"1 TO 2 HRS",TRUE,"ABOVE 2 HRS")</f>
        <v>1 TO 2 HRS</v>
      </c>
    </row>
    <row r="710" spans="1:14" x14ac:dyDescent="0.3">
      <c r="A710" t="s">
        <v>744</v>
      </c>
      <c r="B710" t="s">
        <v>46</v>
      </c>
      <c r="C710">
        <v>96</v>
      </c>
      <c r="D710" t="s">
        <v>36</v>
      </c>
      <c r="E710" s="1">
        <v>45173</v>
      </c>
      <c r="F710">
        <v>96</v>
      </c>
      <c r="G710">
        <v>2.9</v>
      </c>
      <c r="H710" t="str">
        <f>TEXT(calls[[#This Row],[Date of Call]],"DDDD")</f>
        <v>Monday</v>
      </c>
      <c r="I710">
        <f>ROUND(calls[[#This Row],[Satisfaction Rating]],0)</f>
        <v>3</v>
      </c>
      <c r="N710" t="str" cm="1">
        <f t="array" ref="N710">_xlfn.IFS(_xlfn.SINGLE(calls[Duration])&lt;30,"UNDER 30 MINS",_xlfn.SINGLE(calls[Duration])&lt;60,"30 T0 60 MINS",_xlfn.SINGLE(calls[Duration])&lt;120,"1 TO 2 HRS",TRUE,"ABOVE 2 HRS")</f>
        <v>1 TO 2 HRS</v>
      </c>
    </row>
    <row r="711" spans="1:14" x14ac:dyDescent="0.3">
      <c r="A711" t="s">
        <v>745</v>
      </c>
      <c r="B711" t="s">
        <v>19</v>
      </c>
      <c r="C711">
        <v>131</v>
      </c>
      <c r="D711" t="s">
        <v>13</v>
      </c>
      <c r="E711" s="1">
        <v>45174</v>
      </c>
      <c r="F711">
        <v>75</v>
      </c>
      <c r="G711">
        <v>4.4000000000000004</v>
      </c>
      <c r="H711" t="str">
        <f>TEXT(calls[[#This Row],[Date of Call]],"DDDD")</f>
        <v>Tuesday</v>
      </c>
      <c r="I711">
        <f>ROUND(calls[[#This Row],[Satisfaction Rating]],0)</f>
        <v>4</v>
      </c>
      <c r="N711" t="str" cm="1">
        <f t="array" ref="N711">_xlfn.IFS(_xlfn.SINGLE(calls[Duration])&lt;30,"UNDER 30 MINS",_xlfn.SINGLE(calls[Duration])&lt;60,"30 T0 60 MINS",_xlfn.SINGLE(calls[Duration])&lt;120,"1 TO 2 HRS",TRUE,"ABOVE 2 HRS")</f>
        <v>ABOVE 2 HRS</v>
      </c>
    </row>
    <row r="712" spans="1:14" x14ac:dyDescent="0.3">
      <c r="A712" t="s">
        <v>746</v>
      </c>
      <c r="B712" t="s">
        <v>33</v>
      </c>
      <c r="C712">
        <v>52</v>
      </c>
      <c r="D712" t="s">
        <v>36</v>
      </c>
      <c r="E712" s="1">
        <v>45175</v>
      </c>
      <c r="F712">
        <v>88</v>
      </c>
      <c r="G712">
        <v>4.3</v>
      </c>
      <c r="H712" t="str">
        <f>TEXT(calls[[#This Row],[Date of Call]],"DDDD")</f>
        <v>Wednesday</v>
      </c>
      <c r="I712">
        <f>ROUND(calls[[#This Row],[Satisfaction Rating]],0)</f>
        <v>4</v>
      </c>
      <c r="N712" t="str" cm="1">
        <f t="array" ref="N712">_xlfn.IFS(_xlfn.SINGLE(calls[Duration])&lt;30,"UNDER 30 MINS",_xlfn.SINGLE(calls[Duration])&lt;60,"30 T0 60 MINS",_xlfn.SINGLE(calls[Duration])&lt;120,"1 TO 2 HRS",TRUE,"ABOVE 2 HRS")</f>
        <v>30 T0 60 MINS</v>
      </c>
    </row>
    <row r="713" spans="1:14" x14ac:dyDescent="0.3">
      <c r="A713" t="s">
        <v>747</v>
      </c>
      <c r="B713" t="s">
        <v>18</v>
      </c>
      <c r="C713">
        <v>100</v>
      </c>
      <c r="D713" t="s">
        <v>13</v>
      </c>
      <c r="E713" s="1">
        <v>45175</v>
      </c>
      <c r="F713">
        <v>24</v>
      </c>
      <c r="G713">
        <v>4.7</v>
      </c>
      <c r="H713" t="str">
        <f>TEXT(calls[[#This Row],[Date of Call]],"DDDD")</f>
        <v>Wednesday</v>
      </c>
      <c r="I713">
        <f>ROUND(calls[[#This Row],[Satisfaction Rating]],0)</f>
        <v>5</v>
      </c>
      <c r="N713" t="str" cm="1">
        <f t="array" ref="N713">_xlfn.IFS(_xlfn.SINGLE(calls[Duration])&lt;30,"UNDER 30 MINS",_xlfn.SINGLE(calls[Duration])&lt;60,"30 T0 60 MINS",_xlfn.SINGLE(calls[Duration])&lt;120,"1 TO 2 HRS",TRUE,"ABOVE 2 HRS")</f>
        <v>1 TO 2 HRS</v>
      </c>
    </row>
    <row r="714" spans="1:14" x14ac:dyDescent="0.3">
      <c r="A714" t="s">
        <v>748</v>
      </c>
      <c r="B714" t="s">
        <v>26</v>
      </c>
      <c r="C714">
        <v>58</v>
      </c>
      <c r="D714" t="s">
        <v>42</v>
      </c>
      <c r="E714" s="1">
        <v>45175</v>
      </c>
      <c r="F714">
        <v>96</v>
      </c>
      <c r="G714">
        <v>3.2</v>
      </c>
      <c r="H714" t="str">
        <f>TEXT(calls[[#This Row],[Date of Call]],"DDDD")</f>
        <v>Wednesday</v>
      </c>
      <c r="I714">
        <f>ROUND(calls[[#This Row],[Satisfaction Rating]],0)</f>
        <v>3</v>
      </c>
      <c r="N714" t="str" cm="1">
        <f t="array" ref="N714">_xlfn.IFS(_xlfn.SINGLE(calls[Duration])&lt;30,"UNDER 30 MINS",_xlfn.SINGLE(calls[Duration])&lt;60,"30 T0 60 MINS",_xlfn.SINGLE(calls[Duration])&lt;120,"1 TO 2 HRS",TRUE,"ABOVE 2 HRS")</f>
        <v>30 T0 60 MINS</v>
      </c>
    </row>
    <row r="715" spans="1:14" x14ac:dyDescent="0.3">
      <c r="A715" t="s">
        <v>749</v>
      </c>
      <c r="B715" t="s">
        <v>28</v>
      </c>
      <c r="C715">
        <v>144</v>
      </c>
      <c r="D715" t="s">
        <v>42</v>
      </c>
      <c r="E715" s="1">
        <v>45176</v>
      </c>
      <c r="F715">
        <v>124</v>
      </c>
      <c r="G715">
        <v>2.2999999999999998</v>
      </c>
      <c r="H715" t="str">
        <f>TEXT(calls[[#This Row],[Date of Call]],"DDDD")</f>
        <v>Thursday</v>
      </c>
      <c r="I715">
        <f>ROUND(calls[[#This Row],[Satisfaction Rating]],0)</f>
        <v>2</v>
      </c>
      <c r="N715" t="str" cm="1">
        <f t="array" ref="N715">_xlfn.IFS(_xlfn.SINGLE(calls[Duration])&lt;30,"UNDER 30 MINS",_xlfn.SINGLE(calls[Duration])&lt;60,"30 T0 60 MINS",_xlfn.SINGLE(calls[Duration])&lt;120,"1 TO 2 HRS",TRUE,"ABOVE 2 HRS")</f>
        <v>ABOVE 2 HRS</v>
      </c>
    </row>
    <row r="716" spans="1:14" x14ac:dyDescent="0.3">
      <c r="A716" t="s">
        <v>750</v>
      </c>
      <c r="B716" t="s">
        <v>26</v>
      </c>
      <c r="C716">
        <v>53</v>
      </c>
      <c r="D716" t="s">
        <v>29</v>
      </c>
      <c r="E716" s="1">
        <v>45177</v>
      </c>
      <c r="F716">
        <v>130</v>
      </c>
      <c r="G716">
        <v>3.6</v>
      </c>
      <c r="H716" t="str">
        <f>TEXT(calls[[#This Row],[Date of Call]],"DDDD")</f>
        <v>Friday</v>
      </c>
      <c r="I716">
        <f>ROUND(calls[[#This Row],[Satisfaction Rating]],0)</f>
        <v>4</v>
      </c>
      <c r="N716" t="str" cm="1">
        <f t="array" ref="N716">_xlfn.IFS(_xlfn.SINGLE(calls[Duration])&lt;30,"UNDER 30 MINS",_xlfn.SINGLE(calls[Duration])&lt;60,"30 T0 60 MINS",_xlfn.SINGLE(calls[Duration])&lt;120,"1 TO 2 HRS",TRUE,"ABOVE 2 HRS")</f>
        <v>30 T0 60 MINS</v>
      </c>
    </row>
    <row r="717" spans="1:14" x14ac:dyDescent="0.3">
      <c r="A717" t="s">
        <v>751</v>
      </c>
      <c r="B717" t="s">
        <v>46</v>
      </c>
      <c r="C717">
        <v>97</v>
      </c>
      <c r="D717" t="s">
        <v>23</v>
      </c>
      <c r="E717" s="1">
        <v>45177</v>
      </c>
      <c r="F717">
        <v>45</v>
      </c>
      <c r="G717">
        <v>4.5999999999999996</v>
      </c>
      <c r="H717" t="str">
        <f>TEXT(calls[[#This Row],[Date of Call]],"DDDD")</f>
        <v>Friday</v>
      </c>
      <c r="I717">
        <f>ROUND(calls[[#This Row],[Satisfaction Rating]],0)</f>
        <v>5</v>
      </c>
      <c r="N717" t="str" cm="1">
        <f t="array" ref="N717">_xlfn.IFS(_xlfn.SINGLE(calls[Duration])&lt;30,"UNDER 30 MINS",_xlfn.SINGLE(calls[Duration])&lt;60,"30 T0 60 MINS",_xlfn.SINGLE(calls[Duration])&lt;120,"1 TO 2 HRS",TRUE,"ABOVE 2 HRS")</f>
        <v>1 TO 2 HRS</v>
      </c>
    </row>
    <row r="718" spans="1:14" x14ac:dyDescent="0.3">
      <c r="A718" t="s">
        <v>752</v>
      </c>
      <c r="B718" t="s">
        <v>22</v>
      </c>
      <c r="C718">
        <v>64</v>
      </c>
      <c r="D718" t="s">
        <v>42</v>
      </c>
      <c r="E718" s="1">
        <v>45177</v>
      </c>
      <c r="F718">
        <v>66</v>
      </c>
      <c r="G718">
        <v>4</v>
      </c>
      <c r="H718" t="str">
        <f>TEXT(calls[[#This Row],[Date of Call]],"DDDD")</f>
        <v>Friday</v>
      </c>
      <c r="I718">
        <f>ROUND(calls[[#This Row],[Satisfaction Rating]],0)</f>
        <v>4</v>
      </c>
      <c r="N718" t="str" cm="1">
        <f t="array" ref="N718">_xlfn.IFS(_xlfn.SINGLE(calls[Duration])&lt;30,"UNDER 30 MINS",_xlfn.SINGLE(calls[Duration])&lt;60,"30 T0 60 MINS",_xlfn.SINGLE(calls[Duration])&lt;120,"1 TO 2 HRS",TRUE,"ABOVE 2 HRS")</f>
        <v>1 TO 2 HRS</v>
      </c>
    </row>
    <row r="719" spans="1:14" x14ac:dyDescent="0.3">
      <c r="A719" t="s">
        <v>753</v>
      </c>
      <c r="B719" t="s">
        <v>12</v>
      </c>
      <c r="C719">
        <v>106</v>
      </c>
      <c r="D719" t="s">
        <v>13</v>
      </c>
      <c r="E719" s="1">
        <v>45177</v>
      </c>
      <c r="F719">
        <v>58</v>
      </c>
      <c r="G719">
        <v>4.7</v>
      </c>
      <c r="H719" t="str">
        <f>TEXT(calls[[#This Row],[Date of Call]],"DDDD")</f>
        <v>Friday</v>
      </c>
      <c r="I719">
        <f>ROUND(calls[[#This Row],[Satisfaction Rating]],0)</f>
        <v>5</v>
      </c>
      <c r="N719" t="str" cm="1">
        <f t="array" ref="N719">_xlfn.IFS(_xlfn.SINGLE(calls[Duration])&lt;30,"UNDER 30 MINS",_xlfn.SINGLE(calls[Duration])&lt;60,"30 T0 60 MINS",_xlfn.SINGLE(calls[Duration])&lt;120,"1 TO 2 HRS",TRUE,"ABOVE 2 HRS")</f>
        <v>1 TO 2 HRS</v>
      </c>
    </row>
    <row r="720" spans="1:14" x14ac:dyDescent="0.3">
      <c r="A720" t="s">
        <v>754</v>
      </c>
      <c r="B720" t="s">
        <v>14</v>
      </c>
      <c r="C720">
        <v>36</v>
      </c>
      <c r="D720" t="s">
        <v>42</v>
      </c>
      <c r="E720" s="1">
        <v>45178</v>
      </c>
      <c r="F720">
        <v>152</v>
      </c>
      <c r="G720">
        <v>4.3</v>
      </c>
      <c r="H720" t="str">
        <f>TEXT(calls[[#This Row],[Date of Call]],"DDDD")</f>
        <v>Saturday</v>
      </c>
      <c r="I720">
        <f>ROUND(calls[[#This Row],[Satisfaction Rating]],0)</f>
        <v>4</v>
      </c>
      <c r="N720" t="str" cm="1">
        <f t="array" ref="N720">_xlfn.IFS(_xlfn.SINGLE(calls[Duration])&lt;30,"UNDER 30 MINS",_xlfn.SINGLE(calls[Duration])&lt;60,"30 T0 60 MINS",_xlfn.SINGLE(calls[Duration])&lt;120,"1 TO 2 HRS",TRUE,"ABOVE 2 HRS")</f>
        <v>30 T0 60 MINS</v>
      </c>
    </row>
    <row r="721" spans="1:14" x14ac:dyDescent="0.3">
      <c r="A721" t="s">
        <v>755</v>
      </c>
      <c r="B721" t="s">
        <v>28</v>
      </c>
      <c r="C721">
        <v>74</v>
      </c>
      <c r="D721" t="s">
        <v>36</v>
      </c>
      <c r="E721" s="1">
        <v>45178</v>
      </c>
      <c r="F721">
        <v>75</v>
      </c>
      <c r="G721">
        <v>2.8</v>
      </c>
      <c r="H721" t="str">
        <f>TEXT(calls[[#This Row],[Date of Call]],"DDDD")</f>
        <v>Saturday</v>
      </c>
      <c r="I721">
        <f>ROUND(calls[[#This Row],[Satisfaction Rating]],0)</f>
        <v>3</v>
      </c>
      <c r="N721" t="str" cm="1">
        <f t="array" ref="N721">_xlfn.IFS(_xlfn.SINGLE(calls[Duration])&lt;30,"UNDER 30 MINS",_xlfn.SINGLE(calls[Duration])&lt;60,"30 T0 60 MINS",_xlfn.SINGLE(calls[Duration])&lt;120,"1 TO 2 HRS",TRUE,"ABOVE 2 HRS")</f>
        <v>1 TO 2 HRS</v>
      </c>
    </row>
    <row r="722" spans="1:14" x14ac:dyDescent="0.3">
      <c r="A722" t="s">
        <v>756</v>
      </c>
      <c r="B722" t="s">
        <v>31</v>
      </c>
      <c r="C722">
        <v>143</v>
      </c>
      <c r="D722" t="s">
        <v>23</v>
      </c>
      <c r="E722" s="1">
        <v>45178</v>
      </c>
      <c r="F722">
        <v>78</v>
      </c>
      <c r="G722">
        <v>4</v>
      </c>
      <c r="H722" t="str">
        <f>TEXT(calls[[#This Row],[Date of Call]],"DDDD")</f>
        <v>Saturday</v>
      </c>
      <c r="I722">
        <f>ROUND(calls[[#This Row],[Satisfaction Rating]],0)</f>
        <v>4</v>
      </c>
      <c r="N722" t="str" cm="1">
        <f t="array" ref="N722">_xlfn.IFS(_xlfn.SINGLE(calls[Duration])&lt;30,"UNDER 30 MINS",_xlfn.SINGLE(calls[Duration])&lt;60,"30 T0 60 MINS",_xlfn.SINGLE(calls[Duration])&lt;120,"1 TO 2 HRS",TRUE,"ABOVE 2 HRS")</f>
        <v>ABOVE 2 HRS</v>
      </c>
    </row>
    <row r="723" spans="1:14" x14ac:dyDescent="0.3">
      <c r="A723" t="s">
        <v>757</v>
      </c>
      <c r="B723" t="s">
        <v>12</v>
      </c>
      <c r="C723">
        <v>94</v>
      </c>
      <c r="D723" t="s">
        <v>29</v>
      </c>
      <c r="E723" s="1">
        <v>45178</v>
      </c>
      <c r="F723">
        <v>69</v>
      </c>
      <c r="G723">
        <v>3.9</v>
      </c>
      <c r="H723" t="str">
        <f>TEXT(calls[[#This Row],[Date of Call]],"DDDD")</f>
        <v>Saturday</v>
      </c>
      <c r="I723">
        <f>ROUND(calls[[#This Row],[Satisfaction Rating]],0)</f>
        <v>4</v>
      </c>
      <c r="N723" t="str" cm="1">
        <f t="array" ref="N723">_xlfn.IFS(_xlfn.SINGLE(calls[Duration])&lt;30,"UNDER 30 MINS",_xlfn.SINGLE(calls[Duration])&lt;60,"30 T0 60 MINS",_xlfn.SINGLE(calls[Duration])&lt;120,"1 TO 2 HRS",TRUE,"ABOVE 2 HRS")</f>
        <v>1 TO 2 HRS</v>
      </c>
    </row>
    <row r="724" spans="1:14" x14ac:dyDescent="0.3">
      <c r="A724" t="s">
        <v>758</v>
      </c>
      <c r="B724" t="s">
        <v>50</v>
      </c>
      <c r="C724">
        <v>124</v>
      </c>
      <c r="D724" t="s">
        <v>13</v>
      </c>
      <c r="E724" s="1">
        <v>45179</v>
      </c>
      <c r="F724">
        <v>46</v>
      </c>
      <c r="G724">
        <v>3.1</v>
      </c>
      <c r="H724" t="str">
        <f>TEXT(calls[[#This Row],[Date of Call]],"DDDD")</f>
        <v>Sunday</v>
      </c>
      <c r="I724">
        <f>ROUND(calls[[#This Row],[Satisfaction Rating]],0)</f>
        <v>3</v>
      </c>
      <c r="N724" t="str" cm="1">
        <f t="array" ref="N724">_xlfn.IFS(_xlfn.SINGLE(calls[Duration])&lt;30,"UNDER 30 MINS",_xlfn.SINGLE(calls[Duration])&lt;60,"30 T0 60 MINS",_xlfn.SINGLE(calls[Duration])&lt;120,"1 TO 2 HRS",TRUE,"ABOVE 2 HRS")</f>
        <v>ABOVE 2 HRS</v>
      </c>
    </row>
    <row r="725" spans="1:14" x14ac:dyDescent="0.3">
      <c r="A725" t="s">
        <v>759</v>
      </c>
      <c r="B725" t="s">
        <v>14</v>
      </c>
      <c r="C725">
        <v>156</v>
      </c>
      <c r="D725" t="s">
        <v>42</v>
      </c>
      <c r="E725" s="1">
        <v>45179</v>
      </c>
      <c r="F725">
        <v>64</v>
      </c>
      <c r="G725">
        <v>2.7</v>
      </c>
      <c r="H725" t="str">
        <f>TEXT(calls[[#This Row],[Date of Call]],"DDDD")</f>
        <v>Sunday</v>
      </c>
      <c r="I725">
        <f>ROUND(calls[[#This Row],[Satisfaction Rating]],0)</f>
        <v>3</v>
      </c>
      <c r="N725" t="str" cm="1">
        <f t="array" ref="N725">_xlfn.IFS(_xlfn.SINGLE(calls[Duration])&lt;30,"UNDER 30 MINS",_xlfn.SINGLE(calls[Duration])&lt;60,"30 T0 60 MINS",_xlfn.SINGLE(calls[Duration])&lt;120,"1 TO 2 HRS",TRUE,"ABOVE 2 HRS")</f>
        <v>ABOVE 2 HRS</v>
      </c>
    </row>
    <row r="726" spans="1:14" x14ac:dyDescent="0.3">
      <c r="A726" t="s">
        <v>760</v>
      </c>
      <c r="B726" t="s">
        <v>41</v>
      </c>
      <c r="C726">
        <v>107</v>
      </c>
      <c r="D726" t="s">
        <v>23</v>
      </c>
      <c r="E726" s="1">
        <v>45179</v>
      </c>
      <c r="F726">
        <v>38</v>
      </c>
      <c r="G726">
        <v>4.7</v>
      </c>
      <c r="H726" t="str">
        <f>TEXT(calls[[#This Row],[Date of Call]],"DDDD")</f>
        <v>Sunday</v>
      </c>
      <c r="I726">
        <f>ROUND(calls[[#This Row],[Satisfaction Rating]],0)</f>
        <v>5</v>
      </c>
      <c r="N726" t="str" cm="1">
        <f t="array" ref="N726">_xlfn.IFS(_xlfn.SINGLE(calls[Duration])&lt;30,"UNDER 30 MINS",_xlfn.SINGLE(calls[Duration])&lt;60,"30 T0 60 MINS",_xlfn.SINGLE(calls[Duration])&lt;120,"1 TO 2 HRS",TRUE,"ABOVE 2 HRS")</f>
        <v>1 TO 2 HRS</v>
      </c>
    </row>
    <row r="727" spans="1:14" x14ac:dyDescent="0.3">
      <c r="A727" t="s">
        <v>761</v>
      </c>
      <c r="B727" t="s">
        <v>12</v>
      </c>
      <c r="C727">
        <v>58</v>
      </c>
      <c r="D727" t="s">
        <v>23</v>
      </c>
      <c r="E727" s="1">
        <v>45181</v>
      </c>
      <c r="F727">
        <v>90</v>
      </c>
      <c r="G727">
        <v>4.3</v>
      </c>
      <c r="H727" t="str">
        <f>TEXT(calls[[#This Row],[Date of Call]],"DDDD")</f>
        <v>Tuesday</v>
      </c>
      <c r="I727">
        <f>ROUND(calls[[#This Row],[Satisfaction Rating]],0)</f>
        <v>4</v>
      </c>
      <c r="N727" t="str" cm="1">
        <f t="array" ref="N727">_xlfn.IFS(_xlfn.SINGLE(calls[Duration])&lt;30,"UNDER 30 MINS",_xlfn.SINGLE(calls[Duration])&lt;60,"30 T0 60 MINS",_xlfn.SINGLE(calls[Duration])&lt;120,"1 TO 2 HRS",TRUE,"ABOVE 2 HRS")</f>
        <v>30 T0 60 MINS</v>
      </c>
    </row>
    <row r="728" spans="1:14" x14ac:dyDescent="0.3">
      <c r="A728" t="s">
        <v>762</v>
      </c>
      <c r="B728" t="s">
        <v>45</v>
      </c>
      <c r="C728">
        <v>66</v>
      </c>
      <c r="D728" t="s">
        <v>23</v>
      </c>
      <c r="E728" s="1">
        <v>45181</v>
      </c>
      <c r="F728">
        <v>32</v>
      </c>
      <c r="G728">
        <v>3.8</v>
      </c>
      <c r="H728" t="str">
        <f>TEXT(calls[[#This Row],[Date of Call]],"DDDD")</f>
        <v>Tuesday</v>
      </c>
      <c r="I728">
        <f>ROUND(calls[[#This Row],[Satisfaction Rating]],0)</f>
        <v>4</v>
      </c>
      <c r="N728" t="str" cm="1">
        <f t="array" ref="N728">_xlfn.IFS(_xlfn.SINGLE(calls[Duration])&lt;30,"UNDER 30 MINS",_xlfn.SINGLE(calls[Duration])&lt;60,"30 T0 60 MINS",_xlfn.SINGLE(calls[Duration])&lt;120,"1 TO 2 HRS",TRUE,"ABOVE 2 HRS")</f>
        <v>1 TO 2 HRS</v>
      </c>
    </row>
    <row r="729" spans="1:14" x14ac:dyDescent="0.3">
      <c r="A729" t="s">
        <v>763</v>
      </c>
      <c r="B729" t="s">
        <v>19</v>
      </c>
      <c r="C729">
        <v>75</v>
      </c>
      <c r="D729" t="s">
        <v>42</v>
      </c>
      <c r="E729" s="1">
        <v>45181</v>
      </c>
      <c r="F729">
        <v>120</v>
      </c>
      <c r="G729">
        <v>4.4000000000000004</v>
      </c>
      <c r="H729" t="str">
        <f>TEXT(calls[[#This Row],[Date of Call]],"DDDD")</f>
        <v>Tuesday</v>
      </c>
      <c r="I729">
        <f>ROUND(calls[[#This Row],[Satisfaction Rating]],0)</f>
        <v>4</v>
      </c>
      <c r="N729" t="str" cm="1">
        <f t="array" ref="N729">_xlfn.IFS(_xlfn.SINGLE(calls[Duration])&lt;30,"UNDER 30 MINS",_xlfn.SINGLE(calls[Duration])&lt;60,"30 T0 60 MINS",_xlfn.SINGLE(calls[Duration])&lt;120,"1 TO 2 HRS",TRUE,"ABOVE 2 HRS")</f>
        <v>1 TO 2 HRS</v>
      </c>
    </row>
    <row r="730" spans="1:14" x14ac:dyDescent="0.3">
      <c r="A730" t="s">
        <v>764</v>
      </c>
      <c r="B730" t="s">
        <v>41</v>
      </c>
      <c r="C730">
        <v>8</v>
      </c>
      <c r="D730" t="s">
        <v>23</v>
      </c>
      <c r="E730" s="1">
        <v>45181</v>
      </c>
      <c r="F730">
        <v>31</v>
      </c>
      <c r="G730">
        <v>3.9</v>
      </c>
      <c r="H730" t="str">
        <f>TEXT(calls[[#This Row],[Date of Call]],"DDDD")</f>
        <v>Tuesday</v>
      </c>
      <c r="I730">
        <f>ROUND(calls[[#This Row],[Satisfaction Rating]],0)</f>
        <v>4</v>
      </c>
      <c r="N730" t="str" cm="1">
        <f t="array" ref="N730">_xlfn.IFS(_xlfn.SINGLE(calls[Duration])&lt;30,"UNDER 30 MINS",_xlfn.SINGLE(calls[Duration])&lt;60,"30 T0 60 MINS",_xlfn.SINGLE(calls[Duration])&lt;120,"1 TO 2 HRS",TRUE,"ABOVE 2 HRS")</f>
        <v>UNDER 30 MINS</v>
      </c>
    </row>
    <row r="731" spans="1:14" x14ac:dyDescent="0.3">
      <c r="A731" t="s">
        <v>765</v>
      </c>
      <c r="B731" t="s">
        <v>22</v>
      </c>
      <c r="C731">
        <v>76</v>
      </c>
      <c r="D731" t="s">
        <v>42</v>
      </c>
      <c r="E731" s="1">
        <v>45182</v>
      </c>
      <c r="F731">
        <v>108</v>
      </c>
      <c r="G731">
        <v>4.9000000000000004</v>
      </c>
      <c r="H731" t="str">
        <f>TEXT(calls[[#This Row],[Date of Call]],"DDDD")</f>
        <v>Wednesday</v>
      </c>
      <c r="I731">
        <f>ROUND(calls[[#This Row],[Satisfaction Rating]],0)</f>
        <v>5</v>
      </c>
      <c r="N731" t="str" cm="1">
        <f t="array" ref="N731">_xlfn.IFS(_xlfn.SINGLE(calls[Duration])&lt;30,"UNDER 30 MINS",_xlfn.SINGLE(calls[Duration])&lt;60,"30 T0 60 MINS",_xlfn.SINGLE(calls[Duration])&lt;120,"1 TO 2 HRS",TRUE,"ABOVE 2 HRS")</f>
        <v>1 TO 2 HRS</v>
      </c>
    </row>
    <row r="732" spans="1:14" x14ac:dyDescent="0.3">
      <c r="A732" t="s">
        <v>766</v>
      </c>
      <c r="B732" t="s">
        <v>12</v>
      </c>
      <c r="C732">
        <v>110</v>
      </c>
      <c r="D732" t="s">
        <v>42</v>
      </c>
      <c r="E732" s="1">
        <v>45182</v>
      </c>
      <c r="F732">
        <v>180</v>
      </c>
      <c r="G732">
        <v>4.2</v>
      </c>
      <c r="H732" t="str">
        <f>TEXT(calls[[#This Row],[Date of Call]],"DDDD")</f>
        <v>Wednesday</v>
      </c>
      <c r="I732">
        <f>ROUND(calls[[#This Row],[Satisfaction Rating]],0)</f>
        <v>4</v>
      </c>
      <c r="N732" t="str" cm="1">
        <f t="array" ref="N732">_xlfn.IFS(_xlfn.SINGLE(calls[Duration])&lt;30,"UNDER 30 MINS",_xlfn.SINGLE(calls[Duration])&lt;60,"30 T0 60 MINS",_xlfn.SINGLE(calls[Duration])&lt;120,"1 TO 2 HRS",TRUE,"ABOVE 2 HRS")</f>
        <v>1 TO 2 HRS</v>
      </c>
    </row>
    <row r="733" spans="1:14" x14ac:dyDescent="0.3">
      <c r="A733" t="s">
        <v>767</v>
      </c>
      <c r="B733" t="s">
        <v>45</v>
      </c>
      <c r="C733">
        <v>50</v>
      </c>
      <c r="D733" t="s">
        <v>29</v>
      </c>
      <c r="E733" s="1">
        <v>45183</v>
      </c>
      <c r="F733">
        <v>124</v>
      </c>
      <c r="G733">
        <v>4</v>
      </c>
      <c r="H733" t="str">
        <f>TEXT(calls[[#This Row],[Date of Call]],"DDDD")</f>
        <v>Thursday</v>
      </c>
      <c r="I733">
        <f>ROUND(calls[[#This Row],[Satisfaction Rating]],0)</f>
        <v>4</v>
      </c>
      <c r="N733" t="str" cm="1">
        <f t="array" ref="N733">_xlfn.IFS(_xlfn.SINGLE(calls[Duration])&lt;30,"UNDER 30 MINS",_xlfn.SINGLE(calls[Duration])&lt;60,"30 T0 60 MINS",_xlfn.SINGLE(calls[Duration])&lt;120,"1 TO 2 HRS",TRUE,"ABOVE 2 HRS")</f>
        <v>30 T0 60 MINS</v>
      </c>
    </row>
    <row r="734" spans="1:14" x14ac:dyDescent="0.3">
      <c r="A734" t="s">
        <v>768</v>
      </c>
      <c r="B734" t="s">
        <v>33</v>
      </c>
      <c r="C734">
        <v>78</v>
      </c>
      <c r="D734" t="s">
        <v>29</v>
      </c>
      <c r="E734" s="1">
        <v>45183</v>
      </c>
      <c r="F734">
        <v>23</v>
      </c>
      <c r="G734">
        <v>4.2</v>
      </c>
      <c r="H734" t="str">
        <f>TEXT(calls[[#This Row],[Date of Call]],"DDDD")</f>
        <v>Thursday</v>
      </c>
      <c r="I734">
        <f>ROUND(calls[[#This Row],[Satisfaction Rating]],0)</f>
        <v>4</v>
      </c>
      <c r="N734" t="str" cm="1">
        <f t="array" ref="N734">_xlfn.IFS(_xlfn.SINGLE(calls[Duration])&lt;30,"UNDER 30 MINS",_xlfn.SINGLE(calls[Duration])&lt;60,"30 T0 60 MINS",_xlfn.SINGLE(calls[Duration])&lt;120,"1 TO 2 HRS",TRUE,"ABOVE 2 HRS")</f>
        <v>1 TO 2 HRS</v>
      </c>
    </row>
    <row r="735" spans="1:14" x14ac:dyDescent="0.3">
      <c r="A735" t="s">
        <v>769</v>
      </c>
      <c r="B735" t="s">
        <v>46</v>
      </c>
      <c r="C735">
        <v>59</v>
      </c>
      <c r="D735" t="s">
        <v>13</v>
      </c>
      <c r="E735" s="1">
        <v>45184</v>
      </c>
      <c r="F735">
        <v>24</v>
      </c>
      <c r="G735">
        <v>4.8</v>
      </c>
      <c r="H735" t="str">
        <f>TEXT(calls[[#This Row],[Date of Call]],"DDDD")</f>
        <v>Friday</v>
      </c>
      <c r="I735">
        <f>ROUND(calls[[#This Row],[Satisfaction Rating]],0)</f>
        <v>5</v>
      </c>
      <c r="N735" t="str" cm="1">
        <f t="array" ref="N735">_xlfn.IFS(_xlfn.SINGLE(calls[Duration])&lt;30,"UNDER 30 MINS",_xlfn.SINGLE(calls[Duration])&lt;60,"30 T0 60 MINS",_xlfn.SINGLE(calls[Duration])&lt;120,"1 TO 2 HRS",TRUE,"ABOVE 2 HRS")</f>
        <v>30 T0 60 MINS</v>
      </c>
    </row>
    <row r="736" spans="1:14" x14ac:dyDescent="0.3">
      <c r="A736" t="s">
        <v>770</v>
      </c>
      <c r="B736" t="s">
        <v>33</v>
      </c>
      <c r="C736">
        <v>126</v>
      </c>
      <c r="D736" t="s">
        <v>23</v>
      </c>
      <c r="E736" s="1">
        <v>45185</v>
      </c>
      <c r="F736">
        <v>52</v>
      </c>
      <c r="G736">
        <v>1.1000000000000001</v>
      </c>
      <c r="H736" t="str">
        <f>TEXT(calls[[#This Row],[Date of Call]],"DDDD")</f>
        <v>Saturday</v>
      </c>
      <c r="I736">
        <f>ROUND(calls[[#This Row],[Satisfaction Rating]],0)</f>
        <v>1</v>
      </c>
      <c r="N736" t="str" cm="1">
        <f t="array" ref="N736">_xlfn.IFS(_xlfn.SINGLE(calls[Duration])&lt;30,"UNDER 30 MINS",_xlfn.SINGLE(calls[Duration])&lt;60,"30 T0 60 MINS",_xlfn.SINGLE(calls[Duration])&lt;120,"1 TO 2 HRS",TRUE,"ABOVE 2 HRS")</f>
        <v>ABOVE 2 HRS</v>
      </c>
    </row>
    <row r="737" spans="1:14" x14ac:dyDescent="0.3">
      <c r="A737" t="s">
        <v>771</v>
      </c>
      <c r="B737" t="s">
        <v>22</v>
      </c>
      <c r="C737">
        <v>43</v>
      </c>
      <c r="D737" t="s">
        <v>13</v>
      </c>
      <c r="E737" s="1">
        <v>45186</v>
      </c>
      <c r="F737">
        <v>168</v>
      </c>
      <c r="G737">
        <v>4</v>
      </c>
      <c r="H737" t="str">
        <f>TEXT(calls[[#This Row],[Date of Call]],"DDDD")</f>
        <v>Sunday</v>
      </c>
      <c r="I737">
        <f>ROUND(calls[[#This Row],[Satisfaction Rating]],0)</f>
        <v>4</v>
      </c>
      <c r="N737" t="str" cm="1">
        <f t="array" ref="N737">_xlfn.IFS(_xlfn.SINGLE(calls[Duration])&lt;30,"UNDER 30 MINS",_xlfn.SINGLE(calls[Duration])&lt;60,"30 T0 60 MINS",_xlfn.SINGLE(calls[Duration])&lt;120,"1 TO 2 HRS",TRUE,"ABOVE 2 HRS")</f>
        <v>30 T0 60 MINS</v>
      </c>
    </row>
    <row r="738" spans="1:14" x14ac:dyDescent="0.3">
      <c r="A738" t="s">
        <v>772</v>
      </c>
      <c r="B738" t="s">
        <v>14</v>
      </c>
      <c r="C738">
        <v>79</v>
      </c>
      <c r="D738" t="s">
        <v>42</v>
      </c>
      <c r="E738" s="1">
        <v>45188</v>
      </c>
      <c r="F738">
        <v>125</v>
      </c>
      <c r="G738">
        <v>4.8</v>
      </c>
      <c r="H738" t="str">
        <f>TEXT(calls[[#This Row],[Date of Call]],"DDDD")</f>
        <v>Tuesday</v>
      </c>
      <c r="I738">
        <f>ROUND(calls[[#This Row],[Satisfaction Rating]],0)</f>
        <v>5</v>
      </c>
      <c r="N738" t="str" cm="1">
        <f t="array" ref="N738">_xlfn.IFS(_xlfn.SINGLE(calls[Duration])&lt;30,"UNDER 30 MINS",_xlfn.SINGLE(calls[Duration])&lt;60,"30 T0 60 MINS",_xlfn.SINGLE(calls[Duration])&lt;120,"1 TO 2 HRS",TRUE,"ABOVE 2 HRS")</f>
        <v>1 TO 2 HRS</v>
      </c>
    </row>
    <row r="739" spans="1:14" x14ac:dyDescent="0.3">
      <c r="A739" t="s">
        <v>773</v>
      </c>
      <c r="B739" t="s">
        <v>12</v>
      </c>
      <c r="C739">
        <v>71</v>
      </c>
      <c r="D739" t="s">
        <v>13</v>
      </c>
      <c r="E739" s="1">
        <v>45189</v>
      </c>
      <c r="F739">
        <v>50</v>
      </c>
      <c r="G739">
        <v>4.2</v>
      </c>
      <c r="H739" t="str">
        <f>TEXT(calls[[#This Row],[Date of Call]],"DDDD")</f>
        <v>Wednesday</v>
      </c>
      <c r="I739">
        <f>ROUND(calls[[#This Row],[Satisfaction Rating]],0)</f>
        <v>4</v>
      </c>
      <c r="N739" t="str" cm="1">
        <f t="array" ref="N739">_xlfn.IFS(_xlfn.SINGLE(calls[Duration])&lt;30,"UNDER 30 MINS",_xlfn.SINGLE(calls[Duration])&lt;60,"30 T0 60 MINS",_xlfn.SINGLE(calls[Duration])&lt;120,"1 TO 2 HRS",TRUE,"ABOVE 2 HRS")</f>
        <v>1 TO 2 HRS</v>
      </c>
    </row>
    <row r="740" spans="1:14" x14ac:dyDescent="0.3">
      <c r="A740" t="s">
        <v>774</v>
      </c>
      <c r="B740" t="s">
        <v>39</v>
      </c>
      <c r="C740">
        <v>94</v>
      </c>
      <c r="D740" t="s">
        <v>23</v>
      </c>
      <c r="E740" s="1">
        <v>45190</v>
      </c>
      <c r="F740">
        <v>220</v>
      </c>
      <c r="G740">
        <v>4.5999999999999996</v>
      </c>
      <c r="H740" t="str">
        <f>TEXT(calls[[#This Row],[Date of Call]],"DDDD")</f>
        <v>Thursday</v>
      </c>
      <c r="I740">
        <f>ROUND(calls[[#This Row],[Satisfaction Rating]],0)</f>
        <v>5</v>
      </c>
      <c r="N740" t="str" cm="1">
        <f t="array" ref="N740">_xlfn.IFS(_xlfn.SINGLE(calls[Duration])&lt;30,"UNDER 30 MINS",_xlfn.SINGLE(calls[Duration])&lt;60,"30 T0 60 MINS",_xlfn.SINGLE(calls[Duration])&lt;120,"1 TO 2 HRS",TRUE,"ABOVE 2 HRS")</f>
        <v>1 TO 2 HRS</v>
      </c>
    </row>
    <row r="741" spans="1:14" x14ac:dyDescent="0.3">
      <c r="A741" t="s">
        <v>775</v>
      </c>
      <c r="B741" t="s">
        <v>41</v>
      </c>
      <c r="C741">
        <v>108</v>
      </c>
      <c r="D741" t="s">
        <v>13</v>
      </c>
      <c r="E741" s="1">
        <v>45190</v>
      </c>
      <c r="F741">
        <v>180</v>
      </c>
      <c r="G741">
        <v>4</v>
      </c>
      <c r="H741" t="str">
        <f>TEXT(calls[[#This Row],[Date of Call]],"DDDD")</f>
        <v>Thursday</v>
      </c>
      <c r="I741">
        <f>ROUND(calls[[#This Row],[Satisfaction Rating]],0)</f>
        <v>4</v>
      </c>
      <c r="N741" t="str" cm="1">
        <f t="array" ref="N741">_xlfn.IFS(_xlfn.SINGLE(calls[Duration])&lt;30,"UNDER 30 MINS",_xlfn.SINGLE(calls[Duration])&lt;60,"30 T0 60 MINS",_xlfn.SINGLE(calls[Duration])&lt;120,"1 TO 2 HRS",TRUE,"ABOVE 2 HRS")</f>
        <v>1 TO 2 HRS</v>
      </c>
    </row>
    <row r="742" spans="1:14" x14ac:dyDescent="0.3">
      <c r="A742" t="s">
        <v>776</v>
      </c>
      <c r="B742" t="s">
        <v>22</v>
      </c>
      <c r="C742">
        <v>76</v>
      </c>
      <c r="D742" t="s">
        <v>23</v>
      </c>
      <c r="E742" s="1">
        <v>45190</v>
      </c>
      <c r="F742">
        <v>110</v>
      </c>
      <c r="G742">
        <v>3.9</v>
      </c>
      <c r="H742" t="str">
        <f>TEXT(calls[[#This Row],[Date of Call]],"DDDD")</f>
        <v>Thursday</v>
      </c>
      <c r="I742">
        <f>ROUND(calls[[#This Row],[Satisfaction Rating]],0)</f>
        <v>4</v>
      </c>
      <c r="N742" t="str" cm="1">
        <f t="array" ref="N742">_xlfn.IFS(_xlfn.SINGLE(calls[Duration])&lt;30,"UNDER 30 MINS",_xlfn.SINGLE(calls[Duration])&lt;60,"30 T0 60 MINS",_xlfn.SINGLE(calls[Duration])&lt;120,"1 TO 2 HRS",TRUE,"ABOVE 2 HRS")</f>
        <v>1 TO 2 HRS</v>
      </c>
    </row>
    <row r="743" spans="1:14" x14ac:dyDescent="0.3">
      <c r="A743" t="s">
        <v>777</v>
      </c>
      <c r="B743" t="s">
        <v>46</v>
      </c>
      <c r="C743">
        <v>136</v>
      </c>
      <c r="D743" t="s">
        <v>13</v>
      </c>
      <c r="E743" s="1">
        <v>45190</v>
      </c>
      <c r="F743">
        <v>36</v>
      </c>
      <c r="G743">
        <v>2.8</v>
      </c>
      <c r="H743" t="str">
        <f>TEXT(calls[[#This Row],[Date of Call]],"DDDD")</f>
        <v>Thursday</v>
      </c>
      <c r="I743">
        <f>ROUND(calls[[#This Row],[Satisfaction Rating]],0)</f>
        <v>3</v>
      </c>
      <c r="N743" t="str" cm="1">
        <f t="array" ref="N743">_xlfn.IFS(_xlfn.SINGLE(calls[Duration])&lt;30,"UNDER 30 MINS",_xlfn.SINGLE(calls[Duration])&lt;60,"30 T0 60 MINS",_xlfn.SINGLE(calls[Duration])&lt;120,"1 TO 2 HRS",TRUE,"ABOVE 2 HRS")</f>
        <v>ABOVE 2 HRS</v>
      </c>
    </row>
    <row r="744" spans="1:14" x14ac:dyDescent="0.3">
      <c r="A744" t="s">
        <v>778</v>
      </c>
      <c r="B744" t="s">
        <v>18</v>
      </c>
      <c r="C744">
        <v>129</v>
      </c>
      <c r="D744" t="s">
        <v>29</v>
      </c>
      <c r="E744" s="1">
        <v>45191</v>
      </c>
      <c r="F744">
        <v>93</v>
      </c>
      <c r="G744">
        <v>4.7</v>
      </c>
      <c r="H744" t="str">
        <f>TEXT(calls[[#This Row],[Date of Call]],"DDDD")</f>
        <v>Friday</v>
      </c>
      <c r="I744">
        <f>ROUND(calls[[#This Row],[Satisfaction Rating]],0)</f>
        <v>5</v>
      </c>
      <c r="N744" t="str" cm="1">
        <f t="array" ref="N744">_xlfn.IFS(_xlfn.SINGLE(calls[Duration])&lt;30,"UNDER 30 MINS",_xlfn.SINGLE(calls[Duration])&lt;60,"30 T0 60 MINS",_xlfn.SINGLE(calls[Duration])&lt;120,"1 TO 2 HRS",TRUE,"ABOVE 2 HRS")</f>
        <v>ABOVE 2 HRS</v>
      </c>
    </row>
    <row r="745" spans="1:14" x14ac:dyDescent="0.3">
      <c r="A745" t="s">
        <v>779</v>
      </c>
      <c r="B745" t="s">
        <v>41</v>
      </c>
      <c r="C745">
        <v>120</v>
      </c>
      <c r="D745" t="s">
        <v>13</v>
      </c>
      <c r="E745" s="1">
        <v>45191</v>
      </c>
      <c r="F745">
        <v>38</v>
      </c>
      <c r="G745">
        <v>4.2</v>
      </c>
      <c r="H745" t="str">
        <f>TEXT(calls[[#This Row],[Date of Call]],"DDDD")</f>
        <v>Friday</v>
      </c>
      <c r="I745">
        <f>ROUND(calls[[#This Row],[Satisfaction Rating]],0)</f>
        <v>4</v>
      </c>
      <c r="N745" t="str" cm="1">
        <f t="array" ref="N745">_xlfn.IFS(_xlfn.SINGLE(calls[Duration])&lt;30,"UNDER 30 MINS",_xlfn.SINGLE(calls[Duration])&lt;60,"30 T0 60 MINS",_xlfn.SINGLE(calls[Duration])&lt;120,"1 TO 2 HRS",TRUE,"ABOVE 2 HRS")</f>
        <v>ABOVE 2 HRS</v>
      </c>
    </row>
    <row r="746" spans="1:14" x14ac:dyDescent="0.3">
      <c r="A746" t="s">
        <v>780</v>
      </c>
      <c r="B746" t="s">
        <v>22</v>
      </c>
      <c r="C746">
        <v>108</v>
      </c>
      <c r="D746" t="s">
        <v>29</v>
      </c>
      <c r="E746" s="1">
        <v>45192</v>
      </c>
      <c r="F746">
        <v>66</v>
      </c>
      <c r="G746">
        <v>3.9</v>
      </c>
      <c r="H746" t="str">
        <f>TEXT(calls[[#This Row],[Date of Call]],"DDDD")</f>
        <v>Saturday</v>
      </c>
      <c r="I746">
        <f>ROUND(calls[[#This Row],[Satisfaction Rating]],0)</f>
        <v>4</v>
      </c>
      <c r="N746" t="str" cm="1">
        <f t="array" ref="N746">_xlfn.IFS(_xlfn.SINGLE(calls[Duration])&lt;30,"UNDER 30 MINS",_xlfn.SINGLE(calls[Duration])&lt;60,"30 T0 60 MINS",_xlfn.SINGLE(calls[Duration])&lt;120,"1 TO 2 HRS",TRUE,"ABOVE 2 HRS")</f>
        <v>1 TO 2 HRS</v>
      </c>
    </row>
    <row r="747" spans="1:14" x14ac:dyDescent="0.3">
      <c r="A747" t="s">
        <v>781</v>
      </c>
      <c r="B747" t="s">
        <v>33</v>
      </c>
      <c r="C747">
        <v>79</v>
      </c>
      <c r="D747" t="s">
        <v>13</v>
      </c>
      <c r="E747" s="1">
        <v>45192</v>
      </c>
      <c r="F747">
        <v>215</v>
      </c>
      <c r="G747">
        <v>4.5999999999999996</v>
      </c>
      <c r="H747" t="str">
        <f>TEXT(calls[[#This Row],[Date of Call]],"DDDD")</f>
        <v>Saturday</v>
      </c>
      <c r="I747">
        <f>ROUND(calls[[#This Row],[Satisfaction Rating]],0)</f>
        <v>5</v>
      </c>
      <c r="N747" t="str" cm="1">
        <f t="array" ref="N747">_xlfn.IFS(_xlfn.SINGLE(calls[Duration])&lt;30,"UNDER 30 MINS",_xlfn.SINGLE(calls[Duration])&lt;60,"30 T0 60 MINS",_xlfn.SINGLE(calls[Duration])&lt;120,"1 TO 2 HRS",TRUE,"ABOVE 2 HRS")</f>
        <v>1 TO 2 HRS</v>
      </c>
    </row>
    <row r="748" spans="1:14" x14ac:dyDescent="0.3">
      <c r="A748" t="s">
        <v>782</v>
      </c>
      <c r="B748" t="s">
        <v>33</v>
      </c>
      <c r="C748">
        <v>45</v>
      </c>
      <c r="D748" t="s">
        <v>29</v>
      </c>
      <c r="E748" s="1">
        <v>45192</v>
      </c>
      <c r="F748">
        <v>92</v>
      </c>
      <c r="G748">
        <v>4.3</v>
      </c>
      <c r="H748" t="str">
        <f>TEXT(calls[[#This Row],[Date of Call]],"DDDD")</f>
        <v>Saturday</v>
      </c>
      <c r="I748">
        <f>ROUND(calls[[#This Row],[Satisfaction Rating]],0)</f>
        <v>4</v>
      </c>
      <c r="N748" t="str" cm="1">
        <f t="array" ref="N748">_xlfn.IFS(_xlfn.SINGLE(calls[Duration])&lt;30,"UNDER 30 MINS",_xlfn.SINGLE(calls[Duration])&lt;60,"30 T0 60 MINS",_xlfn.SINGLE(calls[Duration])&lt;120,"1 TO 2 HRS",TRUE,"ABOVE 2 HRS")</f>
        <v>30 T0 60 MINS</v>
      </c>
    </row>
    <row r="749" spans="1:14" x14ac:dyDescent="0.3">
      <c r="A749" t="s">
        <v>783</v>
      </c>
      <c r="B749" t="s">
        <v>28</v>
      </c>
      <c r="C749">
        <v>96</v>
      </c>
      <c r="D749" t="s">
        <v>13</v>
      </c>
      <c r="E749" s="1">
        <v>45192</v>
      </c>
      <c r="F749">
        <v>80</v>
      </c>
      <c r="G749">
        <v>3.6</v>
      </c>
      <c r="H749" t="str">
        <f>TEXT(calls[[#This Row],[Date of Call]],"DDDD")</f>
        <v>Saturday</v>
      </c>
      <c r="I749">
        <f>ROUND(calls[[#This Row],[Satisfaction Rating]],0)</f>
        <v>4</v>
      </c>
      <c r="N749" t="str" cm="1">
        <f t="array" ref="N749">_xlfn.IFS(_xlfn.SINGLE(calls[Duration])&lt;30,"UNDER 30 MINS",_xlfn.SINGLE(calls[Duration])&lt;60,"30 T0 60 MINS",_xlfn.SINGLE(calls[Duration])&lt;120,"1 TO 2 HRS",TRUE,"ABOVE 2 HRS")</f>
        <v>1 TO 2 HRS</v>
      </c>
    </row>
    <row r="750" spans="1:14" x14ac:dyDescent="0.3">
      <c r="A750" t="s">
        <v>784</v>
      </c>
      <c r="B750" t="s">
        <v>28</v>
      </c>
      <c r="C750">
        <v>81</v>
      </c>
      <c r="D750" t="s">
        <v>13</v>
      </c>
      <c r="E750" s="1">
        <v>45193</v>
      </c>
      <c r="F750">
        <v>123</v>
      </c>
      <c r="G750">
        <v>4.9000000000000004</v>
      </c>
      <c r="H750" t="str">
        <f>TEXT(calls[[#This Row],[Date of Call]],"DDDD")</f>
        <v>Sunday</v>
      </c>
      <c r="I750">
        <f>ROUND(calls[[#This Row],[Satisfaction Rating]],0)</f>
        <v>5</v>
      </c>
      <c r="N750" t="str" cm="1">
        <f t="array" ref="N750">_xlfn.IFS(_xlfn.SINGLE(calls[Duration])&lt;30,"UNDER 30 MINS",_xlfn.SINGLE(calls[Duration])&lt;60,"30 T0 60 MINS",_xlfn.SINGLE(calls[Duration])&lt;120,"1 TO 2 HRS",TRUE,"ABOVE 2 HRS")</f>
        <v>1 TO 2 HRS</v>
      </c>
    </row>
    <row r="751" spans="1:14" x14ac:dyDescent="0.3">
      <c r="A751" t="s">
        <v>785</v>
      </c>
      <c r="B751" t="s">
        <v>46</v>
      </c>
      <c r="C751">
        <v>95</v>
      </c>
      <c r="D751" t="s">
        <v>36</v>
      </c>
      <c r="E751" s="1">
        <v>45193</v>
      </c>
      <c r="F751">
        <v>23</v>
      </c>
      <c r="G751">
        <v>2.4</v>
      </c>
      <c r="H751" t="str">
        <f>TEXT(calls[[#This Row],[Date of Call]],"DDDD")</f>
        <v>Sunday</v>
      </c>
      <c r="I751">
        <f>ROUND(calls[[#This Row],[Satisfaction Rating]],0)</f>
        <v>2</v>
      </c>
      <c r="N751" t="str" cm="1">
        <f t="array" ref="N751">_xlfn.IFS(_xlfn.SINGLE(calls[Duration])&lt;30,"UNDER 30 MINS",_xlfn.SINGLE(calls[Duration])&lt;60,"30 T0 60 MINS",_xlfn.SINGLE(calls[Duration])&lt;120,"1 TO 2 HRS",TRUE,"ABOVE 2 HRS")</f>
        <v>1 TO 2 HRS</v>
      </c>
    </row>
    <row r="752" spans="1:14" x14ac:dyDescent="0.3">
      <c r="A752" t="s">
        <v>786</v>
      </c>
      <c r="B752" t="s">
        <v>50</v>
      </c>
      <c r="C752">
        <v>159</v>
      </c>
      <c r="D752" t="s">
        <v>23</v>
      </c>
      <c r="E752" s="1">
        <v>45193</v>
      </c>
      <c r="F752">
        <v>63</v>
      </c>
      <c r="G752">
        <v>4.2</v>
      </c>
      <c r="H752" t="str">
        <f>TEXT(calls[[#This Row],[Date of Call]],"DDDD")</f>
        <v>Sunday</v>
      </c>
      <c r="I752">
        <f>ROUND(calls[[#This Row],[Satisfaction Rating]],0)</f>
        <v>4</v>
      </c>
      <c r="N752" t="str" cm="1">
        <f t="array" ref="N752">_xlfn.IFS(_xlfn.SINGLE(calls[Duration])&lt;30,"UNDER 30 MINS",_xlfn.SINGLE(calls[Duration])&lt;60,"30 T0 60 MINS",_xlfn.SINGLE(calls[Duration])&lt;120,"1 TO 2 HRS",TRUE,"ABOVE 2 HRS")</f>
        <v>ABOVE 2 HRS</v>
      </c>
    </row>
    <row r="753" spans="1:14" x14ac:dyDescent="0.3">
      <c r="A753" t="s">
        <v>787</v>
      </c>
      <c r="B753" t="s">
        <v>37</v>
      </c>
      <c r="C753">
        <v>109</v>
      </c>
      <c r="D753" t="s">
        <v>42</v>
      </c>
      <c r="E753" s="1">
        <v>45193</v>
      </c>
      <c r="F753">
        <v>52</v>
      </c>
      <c r="G753">
        <v>3.9</v>
      </c>
      <c r="H753" t="str">
        <f>TEXT(calls[[#This Row],[Date of Call]],"DDDD")</f>
        <v>Sunday</v>
      </c>
      <c r="I753">
        <f>ROUND(calls[[#This Row],[Satisfaction Rating]],0)</f>
        <v>4</v>
      </c>
      <c r="N753" t="str" cm="1">
        <f t="array" ref="N753">_xlfn.IFS(_xlfn.SINGLE(calls[Duration])&lt;30,"UNDER 30 MINS",_xlfn.SINGLE(calls[Duration])&lt;60,"30 T0 60 MINS",_xlfn.SINGLE(calls[Duration])&lt;120,"1 TO 2 HRS",TRUE,"ABOVE 2 HRS")</f>
        <v>1 TO 2 HRS</v>
      </c>
    </row>
    <row r="754" spans="1:14" x14ac:dyDescent="0.3">
      <c r="A754" t="s">
        <v>788</v>
      </c>
      <c r="B754" t="s">
        <v>33</v>
      </c>
      <c r="C754">
        <v>107</v>
      </c>
      <c r="D754" t="s">
        <v>42</v>
      </c>
      <c r="E754" s="1">
        <v>45193</v>
      </c>
      <c r="F754">
        <v>60</v>
      </c>
      <c r="G754">
        <v>4.2</v>
      </c>
      <c r="H754" t="str">
        <f>TEXT(calls[[#This Row],[Date of Call]],"DDDD")</f>
        <v>Sunday</v>
      </c>
      <c r="I754">
        <f>ROUND(calls[[#This Row],[Satisfaction Rating]],0)</f>
        <v>4</v>
      </c>
      <c r="N754" t="str" cm="1">
        <f t="array" ref="N754">_xlfn.IFS(_xlfn.SINGLE(calls[Duration])&lt;30,"UNDER 30 MINS",_xlfn.SINGLE(calls[Duration])&lt;60,"30 T0 60 MINS",_xlfn.SINGLE(calls[Duration])&lt;120,"1 TO 2 HRS",TRUE,"ABOVE 2 HRS")</f>
        <v>1 TO 2 HRS</v>
      </c>
    </row>
    <row r="755" spans="1:14" x14ac:dyDescent="0.3">
      <c r="A755" t="s">
        <v>789</v>
      </c>
      <c r="B755" t="s">
        <v>28</v>
      </c>
      <c r="C755">
        <v>67</v>
      </c>
      <c r="D755" t="s">
        <v>29</v>
      </c>
      <c r="E755" s="1">
        <v>45194</v>
      </c>
      <c r="F755">
        <v>87</v>
      </c>
      <c r="G755">
        <v>3.9</v>
      </c>
      <c r="H755" t="str">
        <f>TEXT(calls[[#This Row],[Date of Call]],"DDDD")</f>
        <v>Monday</v>
      </c>
      <c r="I755">
        <f>ROUND(calls[[#This Row],[Satisfaction Rating]],0)</f>
        <v>4</v>
      </c>
      <c r="N755" t="str" cm="1">
        <f t="array" ref="N755">_xlfn.IFS(_xlfn.SINGLE(calls[Duration])&lt;30,"UNDER 30 MINS",_xlfn.SINGLE(calls[Duration])&lt;60,"30 T0 60 MINS",_xlfn.SINGLE(calls[Duration])&lt;120,"1 TO 2 HRS",TRUE,"ABOVE 2 HRS")</f>
        <v>1 TO 2 HRS</v>
      </c>
    </row>
    <row r="756" spans="1:14" x14ac:dyDescent="0.3">
      <c r="A756" t="s">
        <v>790</v>
      </c>
      <c r="B756" t="s">
        <v>19</v>
      </c>
      <c r="C756">
        <v>96</v>
      </c>
      <c r="D756" t="s">
        <v>13</v>
      </c>
      <c r="E756" s="1">
        <v>45195</v>
      </c>
      <c r="F756">
        <v>42</v>
      </c>
      <c r="G756">
        <v>4.5</v>
      </c>
      <c r="H756" t="str">
        <f>TEXT(calls[[#This Row],[Date of Call]],"DDDD")</f>
        <v>Tuesday</v>
      </c>
      <c r="I756">
        <f>ROUND(calls[[#This Row],[Satisfaction Rating]],0)</f>
        <v>5</v>
      </c>
      <c r="N756" t="str" cm="1">
        <f t="array" ref="N756">_xlfn.IFS(_xlfn.SINGLE(calls[Duration])&lt;30,"UNDER 30 MINS",_xlfn.SINGLE(calls[Duration])&lt;60,"30 T0 60 MINS",_xlfn.SINGLE(calls[Duration])&lt;120,"1 TO 2 HRS",TRUE,"ABOVE 2 HRS")</f>
        <v>1 TO 2 HRS</v>
      </c>
    </row>
    <row r="757" spans="1:14" x14ac:dyDescent="0.3">
      <c r="A757" t="s">
        <v>791</v>
      </c>
      <c r="B757" t="s">
        <v>31</v>
      </c>
      <c r="C757">
        <v>142</v>
      </c>
      <c r="D757" t="s">
        <v>23</v>
      </c>
      <c r="E757" s="1">
        <v>45196</v>
      </c>
      <c r="F757">
        <v>37</v>
      </c>
      <c r="G757">
        <v>3.8</v>
      </c>
      <c r="H757" t="str">
        <f>TEXT(calls[[#This Row],[Date of Call]],"DDDD")</f>
        <v>Wednesday</v>
      </c>
      <c r="I757">
        <f>ROUND(calls[[#This Row],[Satisfaction Rating]],0)</f>
        <v>4</v>
      </c>
      <c r="N757" t="str" cm="1">
        <f t="array" ref="N757">_xlfn.IFS(_xlfn.SINGLE(calls[Duration])&lt;30,"UNDER 30 MINS",_xlfn.SINGLE(calls[Duration])&lt;60,"30 T0 60 MINS",_xlfn.SINGLE(calls[Duration])&lt;120,"1 TO 2 HRS",TRUE,"ABOVE 2 HRS")</f>
        <v>ABOVE 2 HRS</v>
      </c>
    </row>
    <row r="758" spans="1:14" x14ac:dyDescent="0.3">
      <c r="A758" t="s">
        <v>792</v>
      </c>
      <c r="B758" t="s">
        <v>31</v>
      </c>
      <c r="C758">
        <v>71</v>
      </c>
      <c r="D758" t="s">
        <v>36</v>
      </c>
      <c r="E758" s="1">
        <v>45196</v>
      </c>
      <c r="F758">
        <v>135</v>
      </c>
      <c r="G758">
        <v>3.9</v>
      </c>
      <c r="H758" t="str">
        <f>TEXT(calls[[#This Row],[Date of Call]],"DDDD")</f>
        <v>Wednesday</v>
      </c>
      <c r="I758">
        <f>ROUND(calls[[#This Row],[Satisfaction Rating]],0)</f>
        <v>4</v>
      </c>
      <c r="N758" t="str" cm="1">
        <f t="array" ref="N758">_xlfn.IFS(_xlfn.SINGLE(calls[Duration])&lt;30,"UNDER 30 MINS",_xlfn.SINGLE(calls[Duration])&lt;60,"30 T0 60 MINS",_xlfn.SINGLE(calls[Duration])&lt;120,"1 TO 2 HRS",TRUE,"ABOVE 2 HRS")</f>
        <v>1 TO 2 HRS</v>
      </c>
    </row>
    <row r="759" spans="1:14" x14ac:dyDescent="0.3">
      <c r="A759" t="s">
        <v>793</v>
      </c>
      <c r="B759" t="s">
        <v>19</v>
      </c>
      <c r="C759">
        <v>152</v>
      </c>
      <c r="D759" t="s">
        <v>36</v>
      </c>
      <c r="E759" s="1">
        <v>45196</v>
      </c>
      <c r="F759">
        <v>88</v>
      </c>
      <c r="G759">
        <v>4.7</v>
      </c>
      <c r="H759" t="str">
        <f>TEXT(calls[[#This Row],[Date of Call]],"DDDD")</f>
        <v>Wednesday</v>
      </c>
      <c r="I759">
        <f>ROUND(calls[[#This Row],[Satisfaction Rating]],0)</f>
        <v>5</v>
      </c>
      <c r="N759" t="str" cm="1">
        <f t="array" ref="N759">_xlfn.IFS(_xlfn.SINGLE(calls[Duration])&lt;30,"UNDER 30 MINS",_xlfn.SINGLE(calls[Duration])&lt;60,"30 T0 60 MINS",_xlfn.SINGLE(calls[Duration])&lt;120,"1 TO 2 HRS",TRUE,"ABOVE 2 HRS")</f>
        <v>ABOVE 2 HRS</v>
      </c>
    </row>
    <row r="760" spans="1:14" x14ac:dyDescent="0.3">
      <c r="A760" t="s">
        <v>794</v>
      </c>
      <c r="B760" t="s">
        <v>14</v>
      </c>
      <c r="C760">
        <v>108</v>
      </c>
      <c r="D760" t="s">
        <v>23</v>
      </c>
      <c r="E760" s="1">
        <v>45196</v>
      </c>
      <c r="F760">
        <v>190</v>
      </c>
      <c r="G760">
        <v>3.2</v>
      </c>
      <c r="H760" t="str">
        <f>TEXT(calls[[#This Row],[Date of Call]],"DDDD")</f>
        <v>Wednesday</v>
      </c>
      <c r="I760">
        <f>ROUND(calls[[#This Row],[Satisfaction Rating]],0)</f>
        <v>3</v>
      </c>
      <c r="N760" t="str" cm="1">
        <f t="array" ref="N760">_xlfn.IFS(_xlfn.SINGLE(calls[Duration])&lt;30,"UNDER 30 MINS",_xlfn.SINGLE(calls[Duration])&lt;60,"30 T0 60 MINS",_xlfn.SINGLE(calls[Duration])&lt;120,"1 TO 2 HRS",TRUE,"ABOVE 2 HRS")</f>
        <v>1 TO 2 HRS</v>
      </c>
    </row>
    <row r="761" spans="1:14" x14ac:dyDescent="0.3">
      <c r="A761" t="s">
        <v>795</v>
      </c>
      <c r="B761" t="s">
        <v>14</v>
      </c>
      <c r="C761">
        <v>156</v>
      </c>
      <c r="D761" t="s">
        <v>36</v>
      </c>
      <c r="E761" s="1">
        <v>45196</v>
      </c>
      <c r="F761">
        <v>81</v>
      </c>
      <c r="G761">
        <v>5</v>
      </c>
      <c r="H761" t="str">
        <f>TEXT(calls[[#This Row],[Date of Call]],"DDDD")</f>
        <v>Wednesday</v>
      </c>
      <c r="I761">
        <f>ROUND(calls[[#This Row],[Satisfaction Rating]],0)</f>
        <v>5</v>
      </c>
      <c r="N761" t="str" cm="1">
        <f t="array" ref="N761">_xlfn.IFS(_xlfn.SINGLE(calls[Duration])&lt;30,"UNDER 30 MINS",_xlfn.SINGLE(calls[Duration])&lt;60,"30 T0 60 MINS",_xlfn.SINGLE(calls[Duration])&lt;120,"1 TO 2 HRS",TRUE,"ABOVE 2 HRS")</f>
        <v>ABOVE 2 HRS</v>
      </c>
    </row>
    <row r="762" spans="1:14" x14ac:dyDescent="0.3">
      <c r="A762" t="s">
        <v>796</v>
      </c>
      <c r="B762" t="s">
        <v>31</v>
      </c>
      <c r="C762">
        <v>126</v>
      </c>
      <c r="D762" t="s">
        <v>23</v>
      </c>
      <c r="E762" s="1">
        <v>45196</v>
      </c>
      <c r="F762">
        <v>44</v>
      </c>
      <c r="G762">
        <v>3.7</v>
      </c>
      <c r="H762" t="str">
        <f>TEXT(calls[[#This Row],[Date of Call]],"DDDD")</f>
        <v>Wednesday</v>
      </c>
      <c r="I762">
        <f>ROUND(calls[[#This Row],[Satisfaction Rating]],0)</f>
        <v>4</v>
      </c>
      <c r="N762" t="str" cm="1">
        <f t="array" ref="N762">_xlfn.IFS(_xlfn.SINGLE(calls[Duration])&lt;30,"UNDER 30 MINS",_xlfn.SINGLE(calls[Duration])&lt;60,"30 T0 60 MINS",_xlfn.SINGLE(calls[Duration])&lt;120,"1 TO 2 HRS",TRUE,"ABOVE 2 HRS")</f>
        <v>ABOVE 2 HRS</v>
      </c>
    </row>
    <row r="763" spans="1:14" x14ac:dyDescent="0.3">
      <c r="A763" t="s">
        <v>797</v>
      </c>
      <c r="B763" t="s">
        <v>22</v>
      </c>
      <c r="C763">
        <v>135</v>
      </c>
      <c r="D763" t="s">
        <v>36</v>
      </c>
      <c r="E763" s="1">
        <v>45197</v>
      </c>
      <c r="F763">
        <v>92</v>
      </c>
      <c r="G763">
        <v>3.9</v>
      </c>
      <c r="H763" t="str">
        <f>TEXT(calls[[#This Row],[Date of Call]],"DDDD")</f>
        <v>Thursday</v>
      </c>
      <c r="I763">
        <f>ROUND(calls[[#This Row],[Satisfaction Rating]],0)</f>
        <v>4</v>
      </c>
      <c r="N763" t="str" cm="1">
        <f t="array" ref="N763">_xlfn.IFS(_xlfn.SINGLE(calls[Duration])&lt;30,"UNDER 30 MINS",_xlfn.SINGLE(calls[Duration])&lt;60,"30 T0 60 MINS",_xlfn.SINGLE(calls[Duration])&lt;120,"1 TO 2 HRS",TRUE,"ABOVE 2 HRS")</f>
        <v>ABOVE 2 HRS</v>
      </c>
    </row>
    <row r="764" spans="1:14" x14ac:dyDescent="0.3">
      <c r="A764" t="s">
        <v>798</v>
      </c>
      <c r="B764" t="s">
        <v>31</v>
      </c>
      <c r="C764">
        <v>110</v>
      </c>
      <c r="D764" t="s">
        <v>13</v>
      </c>
      <c r="E764" s="1">
        <v>45198</v>
      </c>
      <c r="F764">
        <v>90</v>
      </c>
      <c r="G764">
        <v>3.1</v>
      </c>
      <c r="H764" t="str">
        <f>TEXT(calls[[#This Row],[Date of Call]],"DDDD")</f>
        <v>Friday</v>
      </c>
      <c r="I764">
        <f>ROUND(calls[[#This Row],[Satisfaction Rating]],0)</f>
        <v>3</v>
      </c>
      <c r="N764" t="str" cm="1">
        <f t="array" ref="N764">_xlfn.IFS(_xlfn.SINGLE(calls[Duration])&lt;30,"UNDER 30 MINS",_xlfn.SINGLE(calls[Duration])&lt;60,"30 T0 60 MINS",_xlfn.SINGLE(calls[Duration])&lt;120,"1 TO 2 HRS",TRUE,"ABOVE 2 HRS")</f>
        <v>1 TO 2 HRS</v>
      </c>
    </row>
    <row r="765" spans="1:14" x14ac:dyDescent="0.3">
      <c r="A765" t="s">
        <v>799</v>
      </c>
      <c r="B765" t="s">
        <v>50</v>
      </c>
      <c r="C765">
        <v>64</v>
      </c>
      <c r="D765" t="s">
        <v>36</v>
      </c>
      <c r="E765" s="1">
        <v>45198</v>
      </c>
      <c r="F765">
        <v>112</v>
      </c>
      <c r="G765">
        <v>2</v>
      </c>
      <c r="H765" t="str">
        <f>TEXT(calls[[#This Row],[Date of Call]],"DDDD")</f>
        <v>Friday</v>
      </c>
      <c r="I765">
        <f>ROUND(calls[[#This Row],[Satisfaction Rating]],0)</f>
        <v>2</v>
      </c>
      <c r="N765" t="str" cm="1">
        <f t="array" ref="N765">_xlfn.IFS(_xlfn.SINGLE(calls[Duration])&lt;30,"UNDER 30 MINS",_xlfn.SINGLE(calls[Duration])&lt;60,"30 T0 60 MINS",_xlfn.SINGLE(calls[Duration])&lt;120,"1 TO 2 HRS",TRUE,"ABOVE 2 HRS")</f>
        <v>1 TO 2 HRS</v>
      </c>
    </row>
    <row r="766" spans="1:14" x14ac:dyDescent="0.3">
      <c r="A766" t="s">
        <v>800</v>
      </c>
      <c r="B766" t="s">
        <v>39</v>
      </c>
      <c r="C766">
        <v>127</v>
      </c>
      <c r="D766" t="s">
        <v>23</v>
      </c>
      <c r="E766" s="1">
        <v>45198</v>
      </c>
      <c r="F766">
        <v>112</v>
      </c>
      <c r="G766">
        <v>4.5999999999999996</v>
      </c>
      <c r="H766" t="str">
        <f>TEXT(calls[[#This Row],[Date of Call]],"DDDD")</f>
        <v>Friday</v>
      </c>
      <c r="I766">
        <f>ROUND(calls[[#This Row],[Satisfaction Rating]],0)</f>
        <v>5</v>
      </c>
      <c r="N766" t="str" cm="1">
        <f t="array" ref="N766">_xlfn.IFS(_xlfn.SINGLE(calls[Duration])&lt;30,"UNDER 30 MINS",_xlfn.SINGLE(calls[Duration])&lt;60,"30 T0 60 MINS",_xlfn.SINGLE(calls[Duration])&lt;120,"1 TO 2 HRS",TRUE,"ABOVE 2 HRS")</f>
        <v>ABOVE 2 HRS</v>
      </c>
    </row>
    <row r="767" spans="1:14" x14ac:dyDescent="0.3">
      <c r="A767" t="s">
        <v>801</v>
      </c>
      <c r="B767" t="s">
        <v>37</v>
      </c>
      <c r="C767">
        <v>124</v>
      </c>
      <c r="D767" t="s">
        <v>29</v>
      </c>
      <c r="E767" s="1">
        <v>45198</v>
      </c>
      <c r="F767">
        <v>48</v>
      </c>
      <c r="G767">
        <v>3.7</v>
      </c>
      <c r="H767" t="str">
        <f>TEXT(calls[[#This Row],[Date of Call]],"DDDD")</f>
        <v>Friday</v>
      </c>
      <c r="I767">
        <f>ROUND(calls[[#This Row],[Satisfaction Rating]],0)</f>
        <v>4</v>
      </c>
      <c r="N767" t="str" cm="1">
        <f t="array" ref="N767">_xlfn.IFS(_xlfn.SINGLE(calls[Duration])&lt;30,"UNDER 30 MINS",_xlfn.SINGLE(calls[Duration])&lt;60,"30 T0 60 MINS",_xlfn.SINGLE(calls[Duration])&lt;120,"1 TO 2 HRS",TRUE,"ABOVE 2 HRS")</f>
        <v>ABOVE 2 HRS</v>
      </c>
    </row>
    <row r="768" spans="1:14" x14ac:dyDescent="0.3">
      <c r="A768" t="s">
        <v>802</v>
      </c>
      <c r="B768" t="s">
        <v>50</v>
      </c>
      <c r="C768">
        <v>125</v>
      </c>
      <c r="D768" t="s">
        <v>23</v>
      </c>
      <c r="E768" s="1">
        <v>45198</v>
      </c>
      <c r="F768">
        <v>116</v>
      </c>
      <c r="G768">
        <v>4.4000000000000004</v>
      </c>
      <c r="H768" t="str">
        <f>TEXT(calls[[#This Row],[Date of Call]],"DDDD")</f>
        <v>Friday</v>
      </c>
      <c r="I768">
        <f>ROUND(calls[[#This Row],[Satisfaction Rating]],0)</f>
        <v>4</v>
      </c>
      <c r="N768" t="str" cm="1">
        <f t="array" ref="N768">_xlfn.IFS(_xlfn.SINGLE(calls[Duration])&lt;30,"UNDER 30 MINS",_xlfn.SINGLE(calls[Duration])&lt;60,"30 T0 60 MINS",_xlfn.SINGLE(calls[Duration])&lt;120,"1 TO 2 HRS",TRUE,"ABOVE 2 HRS")</f>
        <v>ABOVE 2 HRS</v>
      </c>
    </row>
    <row r="769" spans="1:14" x14ac:dyDescent="0.3">
      <c r="A769" t="s">
        <v>803</v>
      </c>
      <c r="B769" t="s">
        <v>18</v>
      </c>
      <c r="C769">
        <v>70</v>
      </c>
      <c r="D769" t="s">
        <v>23</v>
      </c>
      <c r="E769" s="1">
        <v>45198</v>
      </c>
      <c r="F769">
        <v>29</v>
      </c>
      <c r="G769">
        <v>2.1</v>
      </c>
      <c r="H769" t="str">
        <f>TEXT(calls[[#This Row],[Date of Call]],"DDDD")</f>
        <v>Friday</v>
      </c>
      <c r="I769">
        <f>ROUND(calls[[#This Row],[Satisfaction Rating]],0)</f>
        <v>2</v>
      </c>
      <c r="N769" t="str" cm="1">
        <f t="array" ref="N769">_xlfn.IFS(_xlfn.SINGLE(calls[Duration])&lt;30,"UNDER 30 MINS",_xlfn.SINGLE(calls[Duration])&lt;60,"30 T0 60 MINS",_xlfn.SINGLE(calls[Duration])&lt;120,"1 TO 2 HRS",TRUE,"ABOVE 2 HRS")</f>
        <v>1 TO 2 HRS</v>
      </c>
    </row>
    <row r="770" spans="1:14" x14ac:dyDescent="0.3">
      <c r="A770" t="s">
        <v>804</v>
      </c>
      <c r="B770" t="s">
        <v>39</v>
      </c>
      <c r="C770">
        <v>93</v>
      </c>
      <c r="D770" t="s">
        <v>36</v>
      </c>
      <c r="E770" s="1">
        <v>45199</v>
      </c>
      <c r="F770">
        <v>170</v>
      </c>
      <c r="G770">
        <v>2.2000000000000002</v>
      </c>
      <c r="H770" t="str">
        <f>TEXT(calls[[#This Row],[Date of Call]],"DDDD")</f>
        <v>Saturday</v>
      </c>
      <c r="I770">
        <f>ROUND(calls[[#This Row],[Satisfaction Rating]],0)</f>
        <v>2</v>
      </c>
      <c r="N770" t="str" cm="1">
        <f t="array" ref="N770">_xlfn.IFS(_xlfn.SINGLE(calls[Duration])&lt;30,"UNDER 30 MINS",_xlfn.SINGLE(calls[Duration])&lt;60,"30 T0 60 MINS",_xlfn.SINGLE(calls[Duration])&lt;120,"1 TO 2 HRS",TRUE,"ABOVE 2 HRS")</f>
        <v>1 TO 2 HRS</v>
      </c>
    </row>
    <row r="771" spans="1:14" x14ac:dyDescent="0.3">
      <c r="A771" t="s">
        <v>805</v>
      </c>
      <c r="B771" t="s">
        <v>18</v>
      </c>
      <c r="C771">
        <v>120</v>
      </c>
      <c r="D771" t="s">
        <v>42</v>
      </c>
      <c r="E771" s="1">
        <v>45199</v>
      </c>
      <c r="F771">
        <v>68</v>
      </c>
      <c r="G771">
        <v>3.4</v>
      </c>
      <c r="H771" t="str">
        <f>TEXT(calls[[#This Row],[Date of Call]],"DDDD")</f>
        <v>Saturday</v>
      </c>
      <c r="I771">
        <f>ROUND(calls[[#This Row],[Satisfaction Rating]],0)</f>
        <v>3</v>
      </c>
      <c r="N771" t="str" cm="1">
        <f t="array" ref="N771">_xlfn.IFS(_xlfn.SINGLE(calls[Duration])&lt;30,"UNDER 30 MINS",_xlfn.SINGLE(calls[Duration])&lt;60,"30 T0 60 MINS",_xlfn.SINGLE(calls[Duration])&lt;120,"1 TO 2 HRS",TRUE,"ABOVE 2 HRS")</f>
        <v>ABOVE 2 HRS</v>
      </c>
    </row>
    <row r="772" spans="1:14" x14ac:dyDescent="0.3">
      <c r="A772" t="s">
        <v>806</v>
      </c>
      <c r="B772" t="s">
        <v>28</v>
      </c>
      <c r="C772">
        <v>96</v>
      </c>
      <c r="D772" t="s">
        <v>13</v>
      </c>
      <c r="E772" s="1">
        <v>45199</v>
      </c>
      <c r="F772">
        <v>195</v>
      </c>
      <c r="G772">
        <v>2.7</v>
      </c>
      <c r="H772" t="str">
        <f>TEXT(calls[[#This Row],[Date of Call]],"DDDD")</f>
        <v>Saturday</v>
      </c>
      <c r="I772">
        <f>ROUND(calls[[#This Row],[Satisfaction Rating]],0)</f>
        <v>3</v>
      </c>
      <c r="N772" t="str" cm="1">
        <f t="array" ref="N772">_xlfn.IFS(_xlfn.SINGLE(calls[Duration])&lt;30,"UNDER 30 MINS",_xlfn.SINGLE(calls[Duration])&lt;60,"30 T0 60 MINS",_xlfn.SINGLE(calls[Duration])&lt;120,"1 TO 2 HRS",TRUE,"ABOVE 2 HRS")</f>
        <v>1 TO 2 HRS</v>
      </c>
    </row>
    <row r="773" spans="1:14" x14ac:dyDescent="0.3">
      <c r="A773" t="s">
        <v>807</v>
      </c>
      <c r="B773" t="s">
        <v>26</v>
      </c>
      <c r="C773">
        <v>67</v>
      </c>
      <c r="D773" t="s">
        <v>13</v>
      </c>
      <c r="E773" s="1">
        <v>45199</v>
      </c>
      <c r="F773">
        <v>96</v>
      </c>
      <c r="G773">
        <v>3.7</v>
      </c>
      <c r="H773" t="str">
        <f>TEXT(calls[[#This Row],[Date of Call]],"DDDD")</f>
        <v>Saturday</v>
      </c>
      <c r="I773">
        <f>ROUND(calls[[#This Row],[Satisfaction Rating]],0)</f>
        <v>4</v>
      </c>
      <c r="N773" t="str" cm="1">
        <f t="array" ref="N773">_xlfn.IFS(_xlfn.SINGLE(calls[Duration])&lt;30,"UNDER 30 MINS",_xlfn.SINGLE(calls[Duration])&lt;60,"30 T0 60 MINS",_xlfn.SINGLE(calls[Duration])&lt;120,"1 TO 2 HRS",TRUE,"ABOVE 2 HRS")</f>
        <v>1 TO 2 HRS</v>
      </c>
    </row>
    <row r="774" spans="1:14" x14ac:dyDescent="0.3">
      <c r="A774" t="s">
        <v>808</v>
      </c>
      <c r="B774" t="s">
        <v>50</v>
      </c>
      <c r="C774">
        <v>119</v>
      </c>
      <c r="D774" t="s">
        <v>13</v>
      </c>
      <c r="E774" s="1">
        <v>45199</v>
      </c>
      <c r="F774">
        <v>96</v>
      </c>
      <c r="G774">
        <v>3.1</v>
      </c>
      <c r="H774" t="str">
        <f>TEXT(calls[[#This Row],[Date of Call]],"DDDD")</f>
        <v>Saturday</v>
      </c>
      <c r="I774">
        <f>ROUND(calls[[#This Row],[Satisfaction Rating]],0)</f>
        <v>3</v>
      </c>
      <c r="N774" t="str" cm="1">
        <f t="array" ref="N774">_xlfn.IFS(_xlfn.SINGLE(calls[Duration])&lt;30,"UNDER 30 MINS",_xlfn.SINGLE(calls[Duration])&lt;60,"30 T0 60 MINS",_xlfn.SINGLE(calls[Duration])&lt;120,"1 TO 2 HRS",TRUE,"ABOVE 2 HRS")</f>
        <v>1 TO 2 HRS</v>
      </c>
    </row>
    <row r="775" spans="1:14" x14ac:dyDescent="0.3">
      <c r="A775" t="s">
        <v>809</v>
      </c>
      <c r="B775" t="s">
        <v>37</v>
      </c>
      <c r="C775">
        <v>61</v>
      </c>
      <c r="D775" t="s">
        <v>29</v>
      </c>
      <c r="E775" s="1">
        <v>45199</v>
      </c>
      <c r="F775">
        <v>117</v>
      </c>
      <c r="G775">
        <v>4.0999999999999996</v>
      </c>
      <c r="H775" t="str">
        <f>TEXT(calls[[#This Row],[Date of Call]],"DDDD")</f>
        <v>Saturday</v>
      </c>
      <c r="I775">
        <f>ROUND(calls[[#This Row],[Satisfaction Rating]],0)</f>
        <v>4</v>
      </c>
      <c r="N775" t="str" cm="1">
        <f t="array" ref="N775">_xlfn.IFS(_xlfn.SINGLE(calls[Duration])&lt;30,"UNDER 30 MINS",_xlfn.SINGLE(calls[Duration])&lt;60,"30 T0 60 MINS",_xlfn.SINGLE(calls[Duration])&lt;120,"1 TO 2 HRS",TRUE,"ABOVE 2 HRS")</f>
        <v>1 TO 2 HRS</v>
      </c>
    </row>
    <row r="776" spans="1:14" x14ac:dyDescent="0.3">
      <c r="A776" t="s">
        <v>810</v>
      </c>
      <c r="B776" t="s">
        <v>28</v>
      </c>
      <c r="C776">
        <v>29</v>
      </c>
      <c r="D776" t="s">
        <v>36</v>
      </c>
      <c r="E776" s="1">
        <v>45199</v>
      </c>
      <c r="F776">
        <v>80</v>
      </c>
      <c r="G776">
        <v>4.8</v>
      </c>
      <c r="H776" t="str">
        <f>TEXT(calls[[#This Row],[Date of Call]],"DDDD")</f>
        <v>Saturday</v>
      </c>
      <c r="I776">
        <f>ROUND(calls[[#This Row],[Satisfaction Rating]],0)</f>
        <v>5</v>
      </c>
      <c r="N776" t="str" cm="1">
        <f t="array" ref="N776">_xlfn.IFS(_xlfn.SINGLE(calls[Duration])&lt;30,"UNDER 30 MINS",_xlfn.SINGLE(calls[Duration])&lt;60,"30 T0 60 MINS",_xlfn.SINGLE(calls[Duration])&lt;120,"1 TO 2 HRS",TRUE,"ABOVE 2 HRS")</f>
        <v>UNDER 30 MINS</v>
      </c>
    </row>
    <row r="777" spans="1:14" x14ac:dyDescent="0.3">
      <c r="A777" t="s">
        <v>811</v>
      </c>
      <c r="B777" t="s">
        <v>19</v>
      </c>
      <c r="C777">
        <v>134</v>
      </c>
      <c r="D777" t="s">
        <v>42</v>
      </c>
      <c r="E777" s="1">
        <v>45199</v>
      </c>
      <c r="F777">
        <v>117</v>
      </c>
      <c r="G777">
        <v>4</v>
      </c>
      <c r="H777" t="str">
        <f>TEXT(calls[[#This Row],[Date of Call]],"DDDD")</f>
        <v>Saturday</v>
      </c>
      <c r="I777">
        <f>ROUND(calls[[#This Row],[Satisfaction Rating]],0)</f>
        <v>4</v>
      </c>
      <c r="N777" t="str" cm="1">
        <f t="array" ref="N777">_xlfn.IFS(_xlfn.SINGLE(calls[Duration])&lt;30,"UNDER 30 MINS",_xlfn.SINGLE(calls[Duration])&lt;60,"30 T0 60 MINS",_xlfn.SINGLE(calls[Duration])&lt;120,"1 TO 2 HRS",TRUE,"ABOVE 2 HRS")</f>
        <v>ABOVE 2 HRS</v>
      </c>
    </row>
    <row r="778" spans="1:14" x14ac:dyDescent="0.3">
      <c r="A778" t="s">
        <v>812</v>
      </c>
      <c r="B778" t="s">
        <v>31</v>
      </c>
      <c r="C778">
        <v>113</v>
      </c>
      <c r="D778" t="s">
        <v>13</v>
      </c>
      <c r="E778" s="1">
        <v>45200</v>
      </c>
      <c r="F778">
        <v>40</v>
      </c>
      <c r="G778">
        <v>3</v>
      </c>
      <c r="H778" t="str">
        <f>TEXT(calls[[#This Row],[Date of Call]],"DDDD")</f>
        <v>Sunday</v>
      </c>
      <c r="I778">
        <f>ROUND(calls[[#This Row],[Satisfaction Rating]],0)</f>
        <v>3</v>
      </c>
      <c r="N778" t="str" cm="1">
        <f t="array" ref="N778">_xlfn.IFS(_xlfn.SINGLE(calls[Duration])&lt;30,"UNDER 30 MINS",_xlfn.SINGLE(calls[Duration])&lt;60,"30 T0 60 MINS",_xlfn.SINGLE(calls[Duration])&lt;120,"1 TO 2 HRS",TRUE,"ABOVE 2 HRS")</f>
        <v>1 TO 2 HRS</v>
      </c>
    </row>
    <row r="779" spans="1:14" x14ac:dyDescent="0.3">
      <c r="A779" t="s">
        <v>813</v>
      </c>
      <c r="B779" t="s">
        <v>14</v>
      </c>
      <c r="C779">
        <v>12</v>
      </c>
      <c r="D779" t="s">
        <v>42</v>
      </c>
      <c r="E779" s="1">
        <v>45200</v>
      </c>
      <c r="F779">
        <v>117</v>
      </c>
      <c r="G779">
        <v>4.8</v>
      </c>
      <c r="H779" t="str">
        <f>TEXT(calls[[#This Row],[Date of Call]],"DDDD")</f>
        <v>Sunday</v>
      </c>
      <c r="I779">
        <f>ROUND(calls[[#This Row],[Satisfaction Rating]],0)</f>
        <v>5</v>
      </c>
      <c r="N779" t="str" cm="1">
        <f t="array" ref="N779">_xlfn.IFS(_xlfn.SINGLE(calls[Duration])&lt;30,"UNDER 30 MINS",_xlfn.SINGLE(calls[Duration])&lt;60,"30 T0 60 MINS",_xlfn.SINGLE(calls[Duration])&lt;120,"1 TO 2 HRS",TRUE,"ABOVE 2 HRS")</f>
        <v>UNDER 30 MINS</v>
      </c>
    </row>
    <row r="780" spans="1:14" x14ac:dyDescent="0.3">
      <c r="A780" t="s">
        <v>814</v>
      </c>
      <c r="B780" t="s">
        <v>45</v>
      </c>
      <c r="C780">
        <v>78</v>
      </c>
      <c r="D780" t="s">
        <v>36</v>
      </c>
      <c r="E780" s="1">
        <v>45200</v>
      </c>
      <c r="F780">
        <v>135</v>
      </c>
      <c r="G780">
        <v>4.0999999999999996</v>
      </c>
      <c r="H780" t="str">
        <f>TEXT(calls[[#This Row],[Date of Call]],"DDDD")</f>
        <v>Sunday</v>
      </c>
      <c r="I780">
        <f>ROUND(calls[[#This Row],[Satisfaction Rating]],0)</f>
        <v>4</v>
      </c>
      <c r="N780" t="str" cm="1">
        <f t="array" ref="N780">_xlfn.IFS(_xlfn.SINGLE(calls[Duration])&lt;30,"UNDER 30 MINS",_xlfn.SINGLE(calls[Duration])&lt;60,"30 T0 60 MINS",_xlfn.SINGLE(calls[Duration])&lt;120,"1 TO 2 HRS",TRUE,"ABOVE 2 HRS")</f>
        <v>1 TO 2 HRS</v>
      </c>
    </row>
    <row r="781" spans="1:14" x14ac:dyDescent="0.3">
      <c r="A781" t="s">
        <v>815</v>
      </c>
      <c r="B781" t="s">
        <v>50</v>
      </c>
      <c r="C781">
        <v>82</v>
      </c>
      <c r="D781" t="s">
        <v>23</v>
      </c>
      <c r="E781" s="1">
        <v>45200</v>
      </c>
      <c r="F781">
        <v>99</v>
      </c>
      <c r="G781">
        <v>4.2</v>
      </c>
      <c r="H781" t="str">
        <f>TEXT(calls[[#This Row],[Date of Call]],"DDDD")</f>
        <v>Sunday</v>
      </c>
      <c r="I781">
        <f>ROUND(calls[[#This Row],[Satisfaction Rating]],0)</f>
        <v>4</v>
      </c>
      <c r="N781" t="str" cm="1">
        <f t="array" ref="N781">_xlfn.IFS(_xlfn.SINGLE(calls[Duration])&lt;30,"UNDER 30 MINS",_xlfn.SINGLE(calls[Duration])&lt;60,"30 T0 60 MINS",_xlfn.SINGLE(calls[Duration])&lt;120,"1 TO 2 HRS",TRUE,"ABOVE 2 HRS")</f>
        <v>1 TO 2 HRS</v>
      </c>
    </row>
    <row r="782" spans="1:14" x14ac:dyDescent="0.3">
      <c r="A782" t="s">
        <v>816</v>
      </c>
      <c r="B782" t="s">
        <v>41</v>
      </c>
      <c r="C782">
        <v>149</v>
      </c>
      <c r="D782" t="s">
        <v>29</v>
      </c>
      <c r="E782" s="1">
        <v>45200</v>
      </c>
      <c r="F782">
        <v>130</v>
      </c>
      <c r="G782">
        <v>3.3</v>
      </c>
      <c r="H782" t="str">
        <f>TEXT(calls[[#This Row],[Date of Call]],"DDDD")</f>
        <v>Sunday</v>
      </c>
      <c r="I782">
        <f>ROUND(calls[[#This Row],[Satisfaction Rating]],0)</f>
        <v>3</v>
      </c>
      <c r="N782" t="str" cm="1">
        <f t="array" ref="N782">_xlfn.IFS(_xlfn.SINGLE(calls[Duration])&lt;30,"UNDER 30 MINS",_xlfn.SINGLE(calls[Duration])&lt;60,"30 T0 60 MINS",_xlfn.SINGLE(calls[Duration])&lt;120,"1 TO 2 HRS",TRUE,"ABOVE 2 HRS")</f>
        <v>ABOVE 2 HRS</v>
      </c>
    </row>
    <row r="783" spans="1:14" x14ac:dyDescent="0.3">
      <c r="A783" t="s">
        <v>817</v>
      </c>
      <c r="B783" t="s">
        <v>33</v>
      </c>
      <c r="C783">
        <v>56</v>
      </c>
      <c r="D783" t="s">
        <v>42</v>
      </c>
      <c r="E783" s="1">
        <v>45200</v>
      </c>
      <c r="F783">
        <v>96</v>
      </c>
      <c r="G783">
        <v>4.7</v>
      </c>
      <c r="H783" t="str">
        <f>TEXT(calls[[#This Row],[Date of Call]],"DDDD")</f>
        <v>Sunday</v>
      </c>
      <c r="I783">
        <f>ROUND(calls[[#This Row],[Satisfaction Rating]],0)</f>
        <v>5</v>
      </c>
      <c r="N783" t="str" cm="1">
        <f t="array" ref="N783">_xlfn.IFS(_xlfn.SINGLE(calls[Duration])&lt;30,"UNDER 30 MINS",_xlfn.SINGLE(calls[Duration])&lt;60,"30 T0 60 MINS",_xlfn.SINGLE(calls[Duration])&lt;120,"1 TO 2 HRS",TRUE,"ABOVE 2 HRS")</f>
        <v>30 T0 60 MINS</v>
      </c>
    </row>
    <row r="784" spans="1:14" x14ac:dyDescent="0.3">
      <c r="A784" t="s">
        <v>818</v>
      </c>
      <c r="B784" t="s">
        <v>28</v>
      </c>
      <c r="C784">
        <v>80</v>
      </c>
      <c r="D784" t="s">
        <v>29</v>
      </c>
      <c r="E784" s="1">
        <v>45200</v>
      </c>
      <c r="F784">
        <v>128</v>
      </c>
      <c r="G784">
        <v>3.7</v>
      </c>
      <c r="H784" t="str">
        <f>TEXT(calls[[#This Row],[Date of Call]],"DDDD")</f>
        <v>Sunday</v>
      </c>
      <c r="I784">
        <f>ROUND(calls[[#This Row],[Satisfaction Rating]],0)</f>
        <v>4</v>
      </c>
      <c r="N784" t="str" cm="1">
        <f t="array" ref="N784">_xlfn.IFS(_xlfn.SINGLE(calls[Duration])&lt;30,"UNDER 30 MINS",_xlfn.SINGLE(calls[Duration])&lt;60,"30 T0 60 MINS",_xlfn.SINGLE(calls[Duration])&lt;120,"1 TO 2 HRS",TRUE,"ABOVE 2 HRS")</f>
        <v>1 TO 2 HRS</v>
      </c>
    </row>
    <row r="785" spans="1:14" x14ac:dyDescent="0.3">
      <c r="A785" t="s">
        <v>819</v>
      </c>
      <c r="B785" t="s">
        <v>37</v>
      </c>
      <c r="C785">
        <v>131</v>
      </c>
      <c r="D785" t="s">
        <v>13</v>
      </c>
      <c r="E785" s="1">
        <v>45200</v>
      </c>
      <c r="F785">
        <v>69</v>
      </c>
      <c r="G785">
        <v>4.7</v>
      </c>
      <c r="H785" t="str">
        <f>TEXT(calls[[#This Row],[Date of Call]],"DDDD")</f>
        <v>Sunday</v>
      </c>
      <c r="I785">
        <f>ROUND(calls[[#This Row],[Satisfaction Rating]],0)</f>
        <v>5</v>
      </c>
      <c r="N785" t="str" cm="1">
        <f t="array" ref="N785">_xlfn.IFS(_xlfn.SINGLE(calls[Duration])&lt;30,"UNDER 30 MINS",_xlfn.SINGLE(calls[Duration])&lt;60,"30 T0 60 MINS",_xlfn.SINGLE(calls[Duration])&lt;120,"1 TO 2 HRS",TRUE,"ABOVE 2 HRS")</f>
        <v>ABOVE 2 HRS</v>
      </c>
    </row>
    <row r="786" spans="1:14" x14ac:dyDescent="0.3">
      <c r="A786" t="s">
        <v>820</v>
      </c>
      <c r="B786" t="s">
        <v>37</v>
      </c>
      <c r="C786">
        <v>109</v>
      </c>
      <c r="D786" t="s">
        <v>13</v>
      </c>
      <c r="E786" s="1">
        <v>45200</v>
      </c>
      <c r="F786">
        <v>44</v>
      </c>
      <c r="G786">
        <v>4.5999999999999996</v>
      </c>
      <c r="H786" t="str">
        <f>TEXT(calls[[#This Row],[Date of Call]],"DDDD")</f>
        <v>Sunday</v>
      </c>
      <c r="I786">
        <f>ROUND(calls[[#This Row],[Satisfaction Rating]],0)</f>
        <v>5</v>
      </c>
      <c r="N786" t="str" cm="1">
        <f t="array" ref="N786">_xlfn.IFS(_xlfn.SINGLE(calls[Duration])&lt;30,"UNDER 30 MINS",_xlfn.SINGLE(calls[Duration])&lt;60,"30 T0 60 MINS",_xlfn.SINGLE(calls[Duration])&lt;120,"1 TO 2 HRS",TRUE,"ABOVE 2 HRS")</f>
        <v>1 TO 2 HRS</v>
      </c>
    </row>
    <row r="787" spans="1:14" x14ac:dyDescent="0.3">
      <c r="A787" t="s">
        <v>821</v>
      </c>
      <c r="B787" t="s">
        <v>33</v>
      </c>
      <c r="C787">
        <v>142</v>
      </c>
      <c r="D787" t="s">
        <v>13</v>
      </c>
      <c r="E787" s="1">
        <v>45200</v>
      </c>
      <c r="F787">
        <v>44</v>
      </c>
      <c r="G787">
        <v>4.8</v>
      </c>
      <c r="H787" t="str">
        <f>TEXT(calls[[#This Row],[Date of Call]],"DDDD")</f>
        <v>Sunday</v>
      </c>
      <c r="I787">
        <f>ROUND(calls[[#This Row],[Satisfaction Rating]],0)</f>
        <v>5</v>
      </c>
      <c r="N787" t="str" cm="1">
        <f t="array" ref="N787">_xlfn.IFS(_xlfn.SINGLE(calls[Duration])&lt;30,"UNDER 30 MINS",_xlfn.SINGLE(calls[Duration])&lt;60,"30 T0 60 MINS",_xlfn.SINGLE(calls[Duration])&lt;120,"1 TO 2 HRS",TRUE,"ABOVE 2 HRS")</f>
        <v>ABOVE 2 HRS</v>
      </c>
    </row>
    <row r="788" spans="1:14" x14ac:dyDescent="0.3">
      <c r="A788" t="s">
        <v>822</v>
      </c>
      <c r="B788" t="s">
        <v>39</v>
      </c>
      <c r="C788">
        <v>114</v>
      </c>
      <c r="D788" t="s">
        <v>42</v>
      </c>
      <c r="E788" s="1">
        <v>45201</v>
      </c>
      <c r="F788">
        <v>135</v>
      </c>
      <c r="G788">
        <v>2</v>
      </c>
      <c r="H788" t="str">
        <f>TEXT(calls[[#This Row],[Date of Call]],"DDDD")</f>
        <v>Monday</v>
      </c>
      <c r="I788">
        <f>ROUND(calls[[#This Row],[Satisfaction Rating]],0)</f>
        <v>2</v>
      </c>
      <c r="N788" t="str" cm="1">
        <f t="array" ref="N788">_xlfn.IFS(_xlfn.SINGLE(calls[Duration])&lt;30,"UNDER 30 MINS",_xlfn.SINGLE(calls[Duration])&lt;60,"30 T0 60 MINS",_xlfn.SINGLE(calls[Duration])&lt;120,"1 TO 2 HRS",TRUE,"ABOVE 2 HRS")</f>
        <v>1 TO 2 HRS</v>
      </c>
    </row>
    <row r="789" spans="1:14" x14ac:dyDescent="0.3">
      <c r="A789" t="s">
        <v>823</v>
      </c>
      <c r="B789" t="s">
        <v>26</v>
      </c>
      <c r="C789">
        <v>93</v>
      </c>
      <c r="D789" t="s">
        <v>29</v>
      </c>
      <c r="E789" s="1">
        <v>45201</v>
      </c>
      <c r="F789">
        <v>45</v>
      </c>
      <c r="G789">
        <v>3.9</v>
      </c>
      <c r="H789" t="str">
        <f>TEXT(calls[[#This Row],[Date of Call]],"DDDD")</f>
        <v>Monday</v>
      </c>
      <c r="I789">
        <f>ROUND(calls[[#This Row],[Satisfaction Rating]],0)</f>
        <v>4</v>
      </c>
      <c r="N789" t="str" cm="1">
        <f t="array" ref="N789">_xlfn.IFS(_xlfn.SINGLE(calls[Duration])&lt;30,"UNDER 30 MINS",_xlfn.SINGLE(calls[Duration])&lt;60,"30 T0 60 MINS",_xlfn.SINGLE(calls[Duration])&lt;120,"1 TO 2 HRS",TRUE,"ABOVE 2 HRS")</f>
        <v>1 TO 2 HRS</v>
      </c>
    </row>
    <row r="790" spans="1:14" x14ac:dyDescent="0.3">
      <c r="A790" t="s">
        <v>824</v>
      </c>
      <c r="B790" t="s">
        <v>14</v>
      </c>
      <c r="C790">
        <v>43</v>
      </c>
      <c r="D790" t="s">
        <v>29</v>
      </c>
      <c r="E790" s="1">
        <v>45201</v>
      </c>
      <c r="F790">
        <v>87</v>
      </c>
      <c r="G790">
        <v>3</v>
      </c>
      <c r="H790" t="str">
        <f>TEXT(calls[[#This Row],[Date of Call]],"DDDD")</f>
        <v>Monday</v>
      </c>
      <c r="I790">
        <f>ROUND(calls[[#This Row],[Satisfaction Rating]],0)</f>
        <v>3</v>
      </c>
      <c r="N790" t="str" cm="1">
        <f t="array" ref="N790">_xlfn.IFS(_xlfn.SINGLE(calls[Duration])&lt;30,"UNDER 30 MINS",_xlfn.SINGLE(calls[Duration])&lt;60,"30 T0 60 MINS",_xlfn.SINGLE(calls[Duration])&lt;120,"1 TO 2 HRS",TRUE,"ABOVE 2 HRS")</f>
        <v>30 T0 60 MINS</v>
      </c>
    </row>
    <row r="791" spans="1:14" x14ac:dyDescent="0.3">
      <c r="A791" t="s">
        <v>825</v>
      </c>
      <c r="B791" t="s">
        <v>19</v>
      </c>
      <c r="C791">
        <v>78</v>
      </c>
      <c r="D791" t="s">
        <v>36</v>
      </c>
      <c r="E791" s="1">
        <v>45202</v>
      </c>
      <c r="F791">
        <v>84</v>
      </c>
      <c r="G791">
        <v>4.5999999999999996</v>
      </c>
      <c r="H791" t="str">
        <f>TEXT(calls[[#This Row],[Date of Call]],"DDDD")</f>
        <v>Tuesday</v>
      </c>
      <c r="I791">
        <f>ROUND(calls[[#This Row],[Satisfaction Rating]],0)</f>
        <v>5</v>
      </c>
      <c r="N791" t="str" cm="1">
        <f t="array" ref="N791">_xlfn.IFS(_xlfn.SINGLE(calls[Duration])&lt;30,"UNDER 30 MINS",_xlfn.SINGLE(calls[Duration])&lt;60,"30 T0 60 MINS",_xlfn.SINGLE(calls[Duration])&lt;120,"1 TO 2 HRS",TRUE,"ABOVE 2 HRS")</f>
        <v>1 TO 2 HRS</v>
      </c>
    </row>
    <row r="792" spans="1:14" x14ac:dyDescent="0.3">
      <c r="A792" t="s">
        <v>826</v>
      </c>
      <c r="B792" t="s">
        <v>39</v>
      </c>
      <c r="C792">
        <v>89</v>
      </c>
      <c r="D792" t="s">
        <v>13</v>
      </c>
      <c r="E792" s="1">
        <v>45202</v>
      </c>
      <c r="F792">
        <v>81</v>
      </c>
      <c r="G792">
        <v>3.8</v>
      </c>
      <c r="H792" t="str">
        <f>TEXT(calls[[#This Row],[Date of Call]],"DDDD")</f>
        <v>Tuesday</v>
      </c>
      <c r="I792">
        <f>ROUND(calls[[#This Row],[Satisfaction Rating]],0)</f>
        <v>4</v>
      </c>
      <c r="N792" t="str" cm="1">
        <f t="array" ref="N792">_xlfn.IFS(_xlfn.SINGLE(calls[Duration])&lt;30,"UNDER 30 MINS",_xlfn.SINGLE(calls[Duration])&lt;60,"30 T0 60 MINS",_xlfn.SINGLE(calls[Duration])&lt;120,"1 TO 2 HRS",TRUE,"ABOVE 2 HRS")</f>
        <v>1 TO 2 HRS</v>
      </c>
    </row>
    <row r="793" spans="1:14" x14ac:dyDescent="0.3">
      <c r="A793" t="s">
        <v>827</v>
      </c>
      <c r="B793" t="s">
        <v>33</v>
      </c>
      <c r="C793">
        <v>82</v>
      </c>
      <c r="D793" t="s">
        <v>23</v>
      </c>
      <c r="E793" s="1">
        <v>45202</v>
      </c>
      <c r="F793">
        <v>130</v>
      </c>
      <c r="G793">
        <v>4.4000000000000004</v>
      </c>
      <c r="H793" t="str">
        <f>TEXT(calls[[#This Row],[Date of Call]],"DDDD")</f>
        <v>Tuesday</v>
      </c>
      <c r="I793">
        <f>ROUND(calls[[#This Row],[Satisfaction Rating]],0)</f>
        <v>4</v>
      </c>
      <c r="N793" t="str" cm="1">
        <f t="array" ref="N793">_xlfn.IFS(_xlfn.SINGLE(calls[Duration])&lt;30,"UNDER 30 MINS",_xlfn.SINGLE(calls[Duration])&lt;60,"30 T0 60 MINS",_xlfn.SINGLE(calls[Duration])&lt;120,"1 TO 2 HRS",TRUE,"ABOVE 2 HRS")</f>
        <v>1 TO 2 HRS</v>
      </c>
    </row>
    <row r="794" spans="1:14" x14ac:dyDescent="0.3">
      <c r="A794" t="s">
        <v>828</v>
      </c>
      <c r="B794" t="s">
        <v>28</v>
      </c>
      <c r="C794">
        <v>86</v>
      </c>
      <c r="D794" t="s">
        <v>13</v>
      </c>
      <c r="E794" s="1">
        <v>45203</v>
      </c>
      <c r="F794">
        <v>92</v>
      </c>
      <c r="G794">
        <v>2.4</v>
      </c>
      <c r="H794" t="str">
        <f>TEXT(calls[[#This Row],[Date of Call]],"DDDD")</f>
        <v>Wednesday</v>
      </c>
      <c r="I794">
        <f>ROUND(calls[[#This Row],[Satisfaction Rating]],0)</f>
        <v>2</v>
      </c>
      <c r="N794" t="str" cm="1">
        <f t="array" ref="N794">_xlfn.IFS(_xlfn.SINGLE(calls[Duration])&lt;30,"UNDER 30 MINS",_xlfn.SINGLE(calls[Duration])&lt;60,"30 T0 60 MINS",_xlfn.SINGLE(calls[Duration])&lt;120,"1 TO 2 HRS",TRUE,"ABOVE 2 HRS")</f>
        <v>1 TO 2 HRS</v>
      </c>
    </row>
    <row r="795" spans="1:14" x14ac:dyDescent="0.3">
      <c r="A795" t="s">
        <v>829</v>
      </c>
      <c r="B795" t="s">
        <v>46</v>
      </c>
      <c r="C795">
        <v>57</v>
      </c>
      <c r="D795" t="s">
        <v>36</v>
      </c>
      <c r="E795" s="1">
        <v>45203</v>
      </c>
      <c r="F795">
        <v>48</v>
      </c>
      <c r="G795">
        <v>4.5</v>
      </c>
      <c r="H795" t="str">
        <f>TEXT(calls[[#This Row],[Date of Call]],"DDDD")</f>
        <v>Wednesday</v>
      </c>
      <c r="I795">
        <f>ROUND(calls[[#This Row],[Satisfaction Rating]],0)</f>
        <v>5</v>
      </c>
      <c r="N795" t="str" cm="1">
        <f t="array" ref="N795">_xlfn.IFS(_xlfn.SINGLE(calls[Duration])&lt;30,"UNDER 30 MINS",_xlfn.SINGLE(calls[Duration])&lt;60,"30 T0 60 MINS",_xlfn.SINGLE(calls[Duration])&lt;120,"1 TO 2 HRS",TRUE,"ABOVE 2 HRS")</f>
        <v>30 T0 60 MINS</v>
      </c>
    </row>
    <row r="796" spans="1:14" x14ac:dyDescent="0.3">
      <c r="A796" t="s">
        <v>830</v>
      </c>
      <c r="B796" t="s">
        <v>26</v>
      </c>
      <c r="C796">
        <v>103</v>
      </c>
      <c r="D796" t="s">
        <v>42</v>
      </c>
      <c r="E796" s="1">
        <v>45203</v>
      </c>
      <c r="F796">
        <v>160</v>
      </c>
      <c r="G796">
        <v>4.5</v>
      </c>
      <c r="H796" t="str">
        <f>TEXT(calls[[#This Row],[Date of Call]],"DDDD")</f>
        <v>Wednesday</v>
      </c>
      <c r="I796">
        <f>ROUND(calls[[#This Row],[Satisfaction Rating]],0)</f>
        <v>5</v>
      </c>
      <c r="N796" t="str" cm="1">
        <f t="array" ref="N796">_xlfn.IFS(_xlfn.SINGLE(calls[Duration])&lt;30,"UNDER 30 MINS",_xlfn.SINGLE(calls[Duration])&lt;60,"30 T0 60 MINS",_xlfn.SINGLE(calls[Duration])&lt;120,"1 TO 2 HRS",TRUE,"ABOVE 2 HRS")</f>
        <v>1 TO 2 HRS</v>
      </c>
    </row>
    <row r="797" spans="1:14" x14ac:dyDescent="0.3">
      <c r="A797" t="s">
        <v>831</v>
      </c>
      <c r="B797" t="s">
        <v>45</v>
      </c>
      <c r="C797">
        <v>138</v>
      </c>
      <c r="D797" t="s">
        <v>36</v>
      </c>
      <c r="E797" s="1">
        <v>45204</v>
      </c>
      <c r="F797">
        <v>155</v>
      </c>
      <c r="G797">
        <v>2.7</v>
      </c>
      <c r="H797" t="str">
        <f>TEXT(calls[[#This Row],[Date of Call]],"DDDD")</f>
        <v>Thursday</v>
      </c>
      <c r="I797">
        <f>ROUND(calls[[#This Row],[Satisfaction Rating]],0)</f>
        <v>3</v>
      </c>
      <c r="N797" t="str" cm="1">
        <f t="array" ref="N797">_xlfn.IFS(_xlfn.SINGLE(calls[Duration])&lt;30,"UNDER 30 MINS",_xlfn.SINGLE(calls[Duration])&lt;60,"30 T0 60 MINS",_xlfn.SINGLE(calls[Duration])&lt;120,"1 TO 2 HRS",TRUE,"ABOVE 2 HRS")</f>
        <v>ABOVE 2 HRS</v>
      </c>
    </row>
    <row r="798" spans="1:14" x14ac:dyDescent="0.3">
      <c r="A798" t="s">
        <v>832</v>
      </c>
      <c r="B798" t="s">
        <v>41</v>
      </c>
      <c r="C798">
        <v>88</v>
      </c>
      <c r="D798" t="s">
        <v>23</v>
      </c>
      <c r="E798" s="1">
        <v>45204</v>
      </c>
      <c r="F798">
        <v>100</v>
      </c>
      <c r="G798">
        <v>4.9000000000000004</v>
      </c>
      <c r="H798" t="str">
        <f>TEXT(calls[[#This Row],[Date of Call]],"DDDD")</f>
        <v>Thursday</v>
      </c>
      <c r="I798">
        <f>ROUND(calls[[#This Row],[Satisfaction Rating]],0)</f>
        <v>5</v>
      </c>
      <c r="N798" t="str" cm="1">
        <f t="array" ref="N798">_xlfn.IFS(_xlfn.SINGLE(calls[Duration])&lt;30,"UNDER 30 MINS",_xlfn.SINGLE(calls[Duration])&lt;60,"30 T0 60 MINS",_xlfn.SINGLE(calls[Duration])&lt;120,"1 TO 2 HRS",TRUE,"ABOVE 2 HRS")</f>
        <v>1 TO 2 HRS</v>
      </c>
    </row>
    <row r="799" spans="1:14" x14ac:dyDescent="0.3">
      <c r="A799" t="s">
        <v>833</v>
      </c>
      <c r="B799" t="s">
        <v>39</v>
      </c>
      <c r="C799">
        <v>118</v>
      </c>
      <c r="D799" t="s">
        <v>29</v>
      </c>
      <c r="E799" s="1">
        <v>45204</v>
      </c>
      <c r="F799">
        <v>56</v>
      </c>
      <c r="G799">
        <v>3.7</v>
      </c>
      <c r="H799" t="str">
        <f>TEXT(calls[[#This Row],[Date of Call]],"DDDD")</f>
        <v>Thursday</v>
      </c>
      <c r="I799">
        <f>ROUND(calls[[#This Row],[Satisfaction Rating]],0)</f>
        <v>4</v>
      </c>
      <c r="N799" t="str" cm="1">
        <f t="array" ref="N799">_xlfn.IFS(_xlfn.SINGLE(calls[Duration])&lt;30,"UNDER 30 MINS",_xlfn.SINGLE(calls[Duration])&lt;60,"30 T0 60 MINS",_xlfn.SINGLE(calls[Duration])&lt;120,"1 TO 2 HRS",TRUE,"ABOVE 2 HRS")</f>
        <v>1 TO 2 HRS</v>
      </c>
    </row>
    <row r="800" spans="1:14" x14ac:dyDescent="0.3">
      <c r="A800" t="s">
        <v>834</v>
      </c>
      <c r="B800" t="s">
        <v>28</v>
      </c>
      <c r="C800">
        <v>4</v>
      </c>
      <c r="D800" t="s">
        <v>13</v>
      </c>
      <c r="E800" s="1">
        <v>45204</v>
      </c>
      <c r="F800">
        <v>170</v>
      </c>
      <c r="G800">
        <v>3.9</v>
      </c>
      <c r="H800" t="str">
        <f>TEXT(calls[[#This Row],[Date of Call]],"DDDD")</f>
        <v>Thursday</v>
      </c>
      <c r="I800">
        <f>ROUND(calls[[#This Row],[Satisfaction Rating]],0)</f>
        <v>4</v>
      </c>
      <c r="N800" t="str" cm="1">
        <f t="array" ref="N800">_xlfn.IFS(_xlfn.SINGLE(calls[Duration])&lt;30,"UNDER 30 MINS",_xlfn.SINGLE(calls[Duration])&lt;60,"30 T0 60 MINS",_xlfn.SINGLE(calls[Duration])&lt;120,"1 TO 2 HRS",TRUE,"ABOVE 2 HRS")</f>
        <v>UNDER 30 MINS</v>
      </c>
    </row>
    <row r="801" spans="1:14" x14ac:dyDescent="0.3">
      <c r="A801" t="s">
        <v>835</v>
      </c>
      <c r="B801" t="s">
        <v>14</v>
      </c>
      <c r="C801">
        <v>78</v>
      </c>
      <c r="D801" t="s">
        <v>42</v>
      </c>
      <c r="E801" s="1">
        <v>45205</v>
      </c>
      <c r="F801">
        <v>74</v>
      </c>
      <c r="G801">
        <v>3.5</v>
      </c>
      <c r="H801" t="str">
        <f>TEXT(calls[[#This Row],[Date of Call]],"DDDD")</f>
        <v>Friday</v>
      </c>
      <c r="I801">
        <f>ROUND(calls[[#This Row],[Satisfaction Rating]],0)</f>
        <v>4</v>
      </c>
      <c r="N801" t="str" cm="1">
        <f t="array" ref="N801">_xlfn.IFS(_xlfn.SINGLE(calls[Duration])&lt;30,"UNDER 30 MINS",_xlfn.SINGLE(calls[Duration])&lt;60,"30 T0 60 MINS",_xlfn.SINGLE(calls[Duration])&lt;120,"1 TO 2 HRS",TRUE,"ABOVE 2 HRS")</f>
        <v>1 TO 2 HRS</v>
      </c>
    </row>
    <row r="802" spans="1:14" x14ac:dyDescent="0.3">
      <c r="A802" t="s">
        <v>836</v>
      </c>
      <c r="B802" t="s">
        <v>31</v>
      </c>
      <c r="C802">
        <v>69</v>
      </c>
      <c r="D802" t="s">
        <v>13</v>
      </c>
      <c r="E802" s="1">
        <v>45205</v>
      </c>
      <c r="F802">
        <v>99</v>
      </c>
      <c r="G802">
        <v>2.7</v>
      </c>
      <c r="H802" t="str">
        <f>TEXT(calls[[#This Row],[Date of Call]],"DDDD")</f>
        <v>Friday</v>
      </c>
      <c r="I802">
        <f>ROUND(calls[[#This Row],[Satisfaction Rating]],0)</f>
        <v>3</v>
      </c>
      <c r="N802" t="str" cm="1">
        <f t="array" ref="N802">_xlfn.IFS(_xlfn.SINGLE(calls[Duration])&lt;30,"UNDER 30 MINS",_xlfn.SINGLE(calls[Duration])&lt;60,"30 T0 60 MINS",_xlfn.SINGLE(calls[Duration])&lt;120,"1 TO 2 HRS",TRUE,"ABOVE 2 HRS")</f>
        <v>1 TO 2 HRS</v>
      </c>
    </row>
    <row r="803" spans="1:14" x14ac:dyDescent="0.3">
      <c r="A803" t="s">
        <v>837</v>
      </c>
      <c r="B803" t="s">
        <v>33</v>
      </c>
      <c r="C803">
        <v>90</v>
      </c>
      <c r="D803" t="s">
        <v>36</v>
      </c>
      <c r="E803" s="1">
        <v>45205</v>
      </c>
      <c r="F803">
        <v>84</v>
      </c>
      <c r="G803">
        <v>3.9</v>
      </c>
      <c r="H803" t="str">
        <f>TEXT(calls[[#This Row],[Date of Call]],"DDDD")</f>
        <v>Friday</v>
      </c>
      <c r="I803">
        <f>ROUND(calls[[#This Row],[Satisfaction Rating]],0)</f>
        <v>4</v>
      </c>
      <c r="N803" t="str" cm="1">
        <f t="array" ref="N803">_xlfn.IFS(_xlfn.SINGLE(calls[Duration])&lt;30,"UNDER 30 MINS",_xlfn.SINGLE(calls[Duration])&lt;60,"30 T0 60 MINS",_xlfn.SINGLE(calls[Duration])&lt;120,"1 TO 2 HRS",TRUE,"ABOVE 2 HRS")</f>
        <v>1 TO 2 HRS</v>
      </c>
    </row>
    <row r="804" spans="1:14" x14ac:dyDescent="0.3">
      <c r="A804" t="s">
        <v>838</v>
      </c>
      <c r="B804" t="s">
        <v>31</v>
      </c>
      <c r="C804">
        <v>134</v>
      </c>
      <c r="D804" t="s">
        <v>13</v>
      </c>
      <c r="E804" s="1">
        <v>45205</v>
      </c>
      <c r="F804">
        <v>35</v>
      </c>
      <c r="G804">
        <v>3.4</v>
      </c>
      <c r="H804" t="str">
        <f>TEXT(calls[[#This Row],[Date of Call]],"DDDD")</f>
        <v>Friday</v>
      </c>
      <c r="I804">
        <f>ROUND(calls[[#This Row],[Satisfaction Rating]],0)</f>
        <v>3</v>
      </c>
      <c r="N804" t="str" cm="1">
        <f t="array" ref="N804">_xlfn.IFS(_xlfn.SINGLE(calls[Duration])&lt;30,"UNDER 30 MINS",_xlfn.SINGLE(calls[Duration])&lt;60,"30 T0 60 MINS",_xlfn.SINGLE(calls[Duration])&lt;120,"1 TO 2 HRS",TRUE,"ABOVE 2 HRS")</f>
        <v>ABOVE 2 HRS</v>
      </c>
    </row>
    <row r="805" spans="1:14" x14ac:dyDescent="0.3">
      <c r="A805" t="s">
        <v>839</v>
      </c>
      <c r="B805" t="s">
        <v>18</v>
      </c>
      <c r="C805">
        <v>65</v>
      </c>
      <c r="D805" t="s">
        <v>29</v>
      </c>
      <c r="E805" s="1">
        <v>45205</v>
      </c>
      <c r="F805">
        <v>150</v>
      </c>
      <c r="G805">
        <v>5</v>
      </c>
      <c r="H805" t="str">
        <f>TEXT(calls[[#This Row],[Date of Call]],"DDDD")</f>
        <v>Friday</v>
      </c>
      <c r="I805">
        <f>ROUND(calls[[#This Row],[Satisfaction Rating]],0)</f>
        <v>5</v>
      </c>
      <c r="N805" t="str" cm="1">
        <f t="array" ref="N805">_xlfn.IFS(_xlfn.SINGLE(calls[Duration])&lt;30,"UNDER 30 MINS",_xlfn.SINGLE(calls[Duration])&lt;60,"30 T0 60 MINS",_xlfn.SINGLE(calls[Duration])&lt;120,"1 TO 2 HRS",TRUE,"ABOVE 2 HRS")</f>
        <v>1 TO 2 HRS</v>
      </c>
    </row>
    <row r="806" spans="1:14" x14ac:dyDescent="0.3">
      <c r="A806" t="s">
        <v>840</v>
      </c>
      <c r="B806" t="s">
        <v>22</v>
      </c>
      <c r="C806">
        <v>54</v>
      </c>
      <c r="D806" t="s">
        <v>42</v>
      </c>
      <c r="E806" s="1">
        <v>45206</v>
      </c>
      <c r="F806">
        <v>176</v>
      </c>
      <c r="G806">
        <v>4.4000000000000004</v>
      </c>
      <c r="H806" t="str">
        <f>TEXT(calls[[#This Row],[Date of Call]],"DDDD")</f>
        <v>Saturday</v>
      </c>
      <c r="I806">
        <f>ROUND(calls[[#This Row],[Satisfaction Rating]],0)</f>
        <v>4</v>
      </c>
      <c r="N806" t="str" cm="1">
        <f t="array" ref="N806">_xlfn.IFS(_xlfn.SINGLE(calls[Duration])&lt;30,"UNDER 30 MINS",_xlfn.SINGLE(calls[Duration])&lt;60,"30 T0 60 MINS",_xlfn.SINGLE(calls[Duration])&lt;120,"1 TO 2 HRS",TRUE,"ABOVE 2 HRS")</f>
        <v>30 T0 60 MINS</v>
      </c>
    </row>
    <row r="807" spans="1:14" x14ac:dyDescent="0.3">
      <c r="A807" t="s">
        <v>841</v>
      </c>
      <c r="B807" t="s">
        <v>22</v>
      </c>
      <c r="C807">
        <v>90</v>
      </c>
      <c r="D807" t="s">
        <v>42</v>
      </c>
      <c r="E807" s="1">
        <v>45206</v>
      </c>
      <c r="F807">
        <v>84</v>
      </c>
      <c r="G807">
        <v>4.3</v>
      </c>
      <c r="H807" t="str">
        <f>TEXT(calls[[#This Row],[Date of Call]],"DDDD")</f>
        <v>Saturday</v>
      </c>
      <c r="I807">
        <f>ROUND(calls[[#This Row],[Satisfaction Rating]],0)</f>
        <v>4</v>
      </c>
      <c r="N807" t="str" cm="1">
        <f t="array" ref="N807">_xlfn.IFS(_xlfn.SINGLE(calls[Duration])&lt;30,"UNDER 30 MINS",_xlfn.SINGLE(calls[Duration])&lt;60,"30 T0 60 MINS",_xlfn.SINGLE(calls[Duration])&lt;120,"1 TO 2 HRS",TRUE,"ABOVE 2 HRS")</f>
        <v>1 TO 2 HRS</v>
      </c>
    </row>
    <row r="808" spans="1:14" x14ac:dyDescent="0.3">
      <c r="A808" t="s">
        <v>842</v>
      </c>
      <c r="B808" t="s">
        <v>33</v>
      </c>
      <c r="C808">
        <v>66</v>
      </c>
      <c r="D808" t="s">
        <v>42</v>
      </c>
      <c r="E808" s="1">
        <v>45206</v>
      </c>
      <c r="F808">
        <v>136</v>
      </c>
      <c r="G808">
        <v>4.7</v>
      </c>
      <c r="H808" t="str">
        <f>TEXT(calls[[#This Row],[Date of Call]],"DDDD")</f>
        <v>Saturday</v>
      </c>
      <c r="I808">
        <f>ROUND(calls[[#This Row],[Satisfaction Rating]],0)</f>
        <v>5</v>
      </c>
      <c r="N808" t="str" cm="1">
        <f t="array" ref="N808">_xlfn.IFS(_xlfn.SINGLE(calls[Duration])&lt;30,"UNDER 30 MINS",_xlfn.SINGLE(calls[Duration])&lt;60,"30 T0 60 MINS",_xlfn.SINGLE(calls[Duration])&lt;120,"1 TO 2 HRS",TRUE,"ABOVE 2 HRS")</f>
        <v>1 TO 2 HRS</v>
      </c>
    </row>
    <row r="809" spans="1:14" x14ac:dyDescent="0.3">
      <c r="A809" t="s">
        <v>843</v>
      </c>
      <c r="B809" t="s">
        <v>28</v>
      </c>
      <c r="C809">
        <v>150</v>
      </c>
      <c r="D809" t="s">
        <v>42</v>
      </c>
      <c r="E809" s="1">
        <v>45207</v>
      </c>
      <c r="F809">
        <v>70</v>
      </c>
      <c r="G809">
        <v>4.0999999999999996</v>
      </c>
      <c r="H809" t="str">
        <f>TEXT(calls[[#This Row],[Date of Call]],"DDDD")</f>
        <v>Sunday</v>
      </c>
      <c r="I809">
        <f>ROUND(calls[[#This Row],[Satisfaction Rating]],0)</f>
        <v>4</v>
      </c>
      <c r="N809" t="str" cm="1">
        <f t="array" ref="N809">_xlfn.IFS(_xlfn.SINGLE(calls[Duration])&lt;30,"UNDER 30 MINS",_xlfn.SINGLE(calls[Duration])&lt;60,"30 T0 60 MINS",_xlfn.SINGLE(calls[Duration])&lt;120,"1 TO 2 HRS",TRUE,"ABOVE 2 HRS")</f>
        <v>ABOVE 2 HRS</v>
      </c>
    </row>
    <row r="810" spans="1:14" x14ac:dyDescent="0.3">
      <c r="A810" t="s">
        <v>844</v>
      </c>
      <c r="B810" t="s">
        <v>19</v>
      </c>
      <c r="C810">
        <v>18</v>
      </c>
      <c r="D810" t="s">
        <v>29</v>
      </c>
      <c r="E810" s="1">
        <v>45207</v>
      </c>
      <c r="F810">
        <v>96</v>
      </c>
      <c r="G810">
        <v>4.8</v>
      </c>
      <c r="H810" t="str">
        <f>TEXT(calls[[#This Row],[Date of Call]],"DDDD")</f>
        <v>Sunday</v>
      </c>
      <c r="I810">
        <f>ROUND(calls[[#This Row],[Satisfaction Rating]],0)</f>
        <v>5</v>
      </c>
      <c r="N810" t="str" cm="1">
        <f t="array" ref="N810">_xlfn.IFS(_xlfn.SINGLE(calls[Duration])&lt;30,"UNDER 30 MINS",_xlfn.SINGLE(calls[Duration])&lt;60,"30 T0 60 MINS",_xlfn.SINGLE(calls[Duration])&lt;120,"1 TO 2 HRS",TRUE,"ABOVE 2 HRS")</f>
        <v>UNDER 30 MINS</v>
      </c>
    </row>
    <row r="811" spans="1:14" x14ac:dyDescent="0.3">
      <c r="A811" t="s">
        <v>845</v>
      </c>
      <c r="B811" t="s">
        <v>22</v>
      </c>
      <c r="C811">
        <v>87</v>
      </c>
      <c r="D811" t="s">
        <v>29</v>
      </c>
      <c r="E811" s="1">
        <v>45207</v>
      </c>
      <c r="F811">
        <v>23</v>
      </c>
      <c r="G811">
        <v>4.2</v>
      </c>
      <c r="H811" t="str">
        <f>TEXT(calls[[#This Row],[Date of Call]],"DDDD")</f>
        <v>Sunday</v>
      </c>
      <c r="I811">
        <f>ROUND(calls[[#This Row],[Satisfaction Rating]],0)</f>
        <v>4</v>
      </c>
      <c r="N811" t="str" cm="1">
        <f t="array" ref="N811">_xlfn.IFS(_xlfn.SINGLE(calls[Duration])&lt;30,"UNDER 30 MINS",_xlfn.SINGLE(calls[Duration])&lt;60,"30 T0 60 MINS",_xlfn.SINGLE(calls[Duration])&lt;120,"1 TO 2 HRS",TRUE,"ABOVE 2 HRS")</f>
        <v>1 TO 2 HRS</v>
      </c>
    </row>
    <row r="812" spans="1:14" x14ac:dyDescent="0.3">
      <c r="A812" t="s">
        <v>846</v>
      </c>
      <c r="B812" t="s">
        <v>45</v>
      </c>
      <c r="C812">
        <v>94</v>
      </c>
      <c r="D812" t="s">
        <v>42</v>
      </c>
      <c r="E812" s="1">
        <v>45208</v>
      </c>
      <c r="F812">
        <v>120</v>
      </c>
      <c r="G812">
        <v>3.4</v>
      </c>
      <c r="H812" t="str">
        <f>TEXT(calls[[#This Row],[Date of Call]],"DDDD")</f>
        <v>Monday</v>
      </c>
      <c r="I812">
        <f>ROUND(calls[[#This Row],[Satisfaction Rating]],0)</f>
        <v>3</v>
      </c>
      <c r="N812" t="str" cm="1">
        <f t="array" ref="N812">_xlfn.IFS(_xlfn.SINGLE(calls[Duration])&lt;30,"UNDER 30 MINS",_xlfn.SINGLE(calls[Duration])&lt;60,"30 T0 60 MINS",_xlfn.SINGLE(calls[Duration])&lt;120,"1 TO 2 HRS",TRUE,"ABOVE 2 HRS")</f>
        <v>1 TO 2 HRS</v>
      </c>
    </row>
    <row r="813" spans="1:14" x14ac:dyDescent="0.3">
      <c r="A813" t="s">
        <v>847</v>
      </c>
      <c r="B813" t="s">
        <v>46</v>
      </c>
      <c r="C813">
        <v>56</v>
      </c>
      <c r="D813" t="s">
        <v>42</v>
      </c>
      <c r="E813" s="1">
        <v>45208</v>
      </c>
      <c r="F813">
        <v>205</v>
      </c>
      <c r="G813">
        <v>3.3</v>
      </c>
      <c r="H813" t="str">
        <f>TEXT(calls[[#This Row],[Date of Call]],"DDDD")</f>
        <v>Monday</v>
      </c>
      <c r="I813">
        <f>ROUND(calls[[#This Row],[Satisfaction Rating]],0)</f>
        <v>3</v>
      </c>
      <c r="N813" t="str" cm="1">
        <f t="array" ref="N813">_xlfn.IFS(_xlfn.SINGLE(calls[Duration])&lt;30,"UNDER 30 MINS",_xlfn.SINGLE(calls[Duration])&lt;60,"30 T0 60 MINS",_xlfn.SINGLE(calls[Duration])&lt;120,"1 TO 2 HRS",TRUE,"ABOVE 2 HRS")</f>
        <v>30 T0 60 MINS</v>
      </c>
    </row>
    <row r="814" spans="1:14" x14ac:dyDescent="0.3">
      <c r="A814" t="s">
        <v>848</v>
      </c>
      <c r="B814" t="s">
        <v>39</v>
      </c>
      <c r="C814">
        <v>41</v>
      </c>
      <c r="D814" t="s">
        <v>23</v>
      </c>
      <c r="E814" s="1">
        <v>45209</v>
      </c>
      <c r="F814">
        <v>42</v>
      </c>
      <c r="G814">
        <v>3.8</v>
      </c>
      <c r="H814" t="str">
        <f>TEXT(calls[[#This Row],[Date of Call]],"DDDD")</f>
        <v>Tuesday</v>
      </c>
      <c r="I814">
        <f>ROUND(calls[[#This Row],[Satisfaction Rating]],0)</f>
        <v>4</v>
      </c>
      <c r="N814" t="str" cm="1">
        <f t="array" ref="N814">_xlfn.IFS(_xlfn.SINGLE(calls[Duration])&lt;30,"UNDER 30 MINS",_xlfn.SINGLE(calls[Duration])&lt;60,"30 T0 60 MINS",_xlfn.SINGLE(calls[Duration])&lt;120,"1 TO 2 HRS",TRUE,"ABOVE 2 HRS")</f>
        <v>30 T0 60 MINS</v>
      </c>
    </row>
    <row r="815" spans="1:14" x14ac:dyDescent="0.3">
      <c r="A815" t="s">
        <v>849</v>
      </c>
      <c r="B815" t="s">
        <v>28</v>
      </c>
      <c r="C815">
        <v>119</v>
      </c>
      <c r="D815" t="s">
        <v>36</v>
      </c>
      <c r="E815" s="1">
        <v>45209</v>
      </c>
      <c r="F815">
        <v>111</v>
      </c>
      <c r="G815">
        <v>3.9</v>
      </c>
      <c r="H815" t="str">
        <f>TEXT(calls[[#This Row],[Date of Call]],"DDDD")</f>
        <v>Tuesday</v>
      </c>
      <c r="I815">
        <f>ROUND(calls[[#This Row],[Satisfaction Rating]],0)</f>
        <v>4</v>
      </c>
      <c r="N815" t="str" cm="1">
        <f t="array" ref="N815">_xlfn.IFS(_xlfn.SINGLE(calls[Duration])&lt;30,"UNDER 30 MINS",_xlfn.SINGLE(calls[Duration])&lt;60,"30 T0 60 MINS",_xlfn.SINGLE(calls[Duration])&lt;120,"1 TO 2 HRS",TRUE,"ABOVE 2 HRS")</f>
        <v>1 TO 2 HRS</v>
      </c>
    </row>
    <row r="816" spans="1:14" x14ac:dyDescent="0.3">
      <c r="A816" t="s">
        <v>850</v>
      </c>
      <c r="B816" t="s">
        <v>26</v>
      </c>
      <c r="C816">
        <v>108</v>
      </c>
      <c r="D816" t="s">
        <v>42</v>
      </c>
      <c r="E816" s="1">
        <v>45209</v>
      </c>
      <c r="F816">
        <v>68</v>
      </c>
      <c r="G816">
        <v>2.5</v>
      </c>
      <c r="H816" t="str">
        <f>TEXT(calls[[#This Row],[Date of Call]],"DDDD")</f>
        <v>Tuesday</v>
      </c>
      <c r="I816">
        <f>ROUND(calls[[#This Row],[Satisfaction Rating]],0)</f>
        <v>3</v>
      </c>
      <c r="N816" t="str" cm="1">
        <f t="array" ref="N816">_xlfn.IFS(_xlfn.SINGLE(calls[Duration])&lt;30,"UNDER 30 MINS",_xlfn.SINGLE(calls[Duration])&lt;60,"30 T0 60 MINS",_xlfn.SINGLE(calls[Duration])&lt;120,"1 TO 2 HRS",TRUE,"ABOVE 2 HRS")</f>
        <v>1 TO 2 HRS</v>
      </c>
    </row>
    <row r="817" spans="1:14" x14ac:dyDescent="0.3">
      <c r="A817" t="s">
        <v>851</v>
      </c>
      <c r="B817" t="s">
        <v>14</v>
      </c>
      <c r="C817">
        <v>63</v>
      </c>
      <c r="D817" t="s">
        <v>13</v>
      </c>
      <c r="E817" s="1">
        <v>45209</v>
      </c>
      <c r="F817">
        <v>172</v>
      </c>
      <c r="G817">
        <v>4.9000000000000004</v>
      </c>
      <c r="H817" t="str">
        <f>TEXT(calls[[#This Row],[Date of Call]],"DDDD")</f>
        <v>Tuesday</v>
      </c>
      <c r="I817">
        <f>ROUND(calls[[#This Row],[Satisfaction Rating]],0)</f>
        <v>5</v>
      </c>
      <c r="N817" t="str" cm="1">
        <f t="array" ref="N817">_xlfn.IFS(_xlfn.SINGLE(calls[Duration])&lt;30,"UNDER 30 MINS",_xlfn.SINGLE(calls[Duration])&lt;60,"30 T0 60 MINS",_xlfn.SINGLE(calls[Duration])&lt;120,"1 TO 2 HRS",TRUE,"ABOVE 2 HRS")</f>
        <v>1 TO 2 HRS</v>
      </c>
    </row>
    <row r="818" spans="1:14" x14ac:dyDescent="0.3">
      <c r="A818" t="s">
        <v>852</v>
      </c>
      <c r="B818" t="s">
        <v>50</v>
      </c>
      <c r="C818">
        <v>59</v>
      </c>
      <c r="D818" t="s">
        <v>42</v>
      </c>
      <c r="E818" s="1">
        <v>45209</v>
      </c>
      <c r="F818">
        <v>152</v>
      </c>
      <c r="G818">
        <v>4.8</v>
      </c>
      <c r="H818" t="str">
        <f>TEXT(calls[[#This Row],[Date of Call]],"DDDD")</f>
        <v>Tuesday</v>
      </c>
      <c r="I818">
        <f>ROUND(calls[[#This Row],[Satisfaction Rating]],0)</f>
        <v>5</v>
      </c>
      <c r="N818" t="str" cm="1">
        <f t="array" ref="N818">_xlfn.IFS(_xlfn.SINGLE(calls[Duration])&lt;30,"UNDER 30 MINS",_xlfn.SINGLE(calls[Duration])&lt;60,"30 T0 60 MINS",_xlfn.SINGLE(calls[Duration])&lt;120,"1 TO 2 HRS",TRUE,"ABOVE 2 HRS")</f>
        <v>30 T0 60 MINS</v>
      </c>
    </row>
    <row r="819" spans="1:14" x14ac:dyDescent="0.3">
      <c r="A819" t="s">
        <v>853</v>
      </c>
      <c r="B819" t="s">
        <v>50</v>
      </c>
      <c r="C819">
        <v>90</v>
      </c>
      <c r="D819" t="s">
        <v>23</v>
      </c>
      <c r="E819" s="1">
        <v>45209</v>
      </c>
      <c r="F819">
        <v>48</v>
      </c>
      <c r="G819">
        <v>4.7</v>
      </c>
      <c r="H819" t="str">
        <f>TEXT(calls[[#This Row],[Date of Call]],"DDDD")</f>
        <v>Tuesday</v>
      </c>
      <c r="I819">
        <f>ROUND(calls[[#This Row],[Satisfaction Rating]],0)</f>
        <v>5</v>
      </c>
      <c r="N819" t="str" cm="1">
        <f t="array" ref="N819">_xlfn.IFS(_xlfn.SINGLE(calls[Duration])&lt;30,"UNDER 30 MINS",_xlfn.SINGLE(calls[Duration])&lt;60,"30 T0 60 MINS",_xlfn.SINGLE(calls[Duration])&lt;120,"1 TO 2 HRS",TRUE,"ABOVE 2 HRS")</f>
        <v>1 TO 2 HRS</v>
      </c>
    </row>
    <row r="820" spans="1:14" x14ac:dyDescent="0.3">
      <c r="A820" t="s">
        <v>854</v>
      </c>
      <c r="B820" t="s">
        <v>41</v>
      </c>
      <c r="C820">
        <v>55</v>
      </c>
      <c r="D820" t="s">
        <v>23</v>
      </c>
      <c r="E820" s="1">
        <v>45209</v>
      </c>
      <c r="F820">
        <v>25</v>
      </c>
      <c r="G820">
        <v>4.7</v>
      </c>
      <c r="H820" t="str">
        <f>TEXT(calls[[#This Row],[Date of Call]],"DDDD")</f>
        <v>Tuesday</v>
      </c>
      <c r="I820">
        <f>ROUND(calls[[#This Row],[Satisfaction Rating]],0)</f>
        <v>5</v>
      </c>
      <c r="N820" t="str" cm="1">
        <f t="array" ref="N820">_xlfn.IFS(_xlfn.SINGLE(calls[Duration])&lt;30,"UNDER 30 MINS",_xlfn.SINGLE(calls[Duration])&lt;60,"30 T0 60 MINS",_xlfn.SINGLE(calls[Duration])&lt;120,"1 TO 2 HRS",TRUE,"ABOVE 2 HRS")</f>
        <v>30 T0 60 MINS</v>
      </c>
    </row>
    <row r="821" spans="1:14" x14ac:dyDescent="0.3">
      <c r="A821" t="s">
        <v>855</v>
      </c>
      <c r="B821" t="s">
        <v>26</v>
      </c>
      <c r="C821">
        <v>84</v>
      </c>
      <c r="D821" t="s">
        <v>36</v>
      </c>
      <c r="E821" s="1">
        <v>45210</v>
      </c>
      <c r="F821">
        <v>54</v>
      </c>
      <c r="G821">
        <v>3.3</v>
      </c>
      <c r="H821" t="str">
        <f>TEXT(calls[[#This Row],[Date of Call]],"DDDD")</f>
        <v>Wednesday</v>
      </c>
      <c r="I821">
        <f>ROUND(calls[[#This Row],[Satisfaction Rating]],0)</f>
        <v>3</v>
      </c>
      <c r="N821" t="str" cm="1">
        <f t="array" ref="N821">_xlfn.IFS(_xlfn.SINGLE(calls[Duration])&lt;30,"UNDER 30 MINS",_xlfn.SINGLE(calls[Duration])&lt;60,"30 T0 60 MINS",_xlfn.SINGLE(calls[Duration])&lt;120,"1 TO 2 HRS",TRUE,"ABOVE 2 HRS")</f>
        <v>1 TO 2 HRS</v>
      </c>
    </row>
    <row r="822" spans="1:14" x14ac:dyDescent="0.3">
      <c r="A822" t="s">
        <v>856</v>
      </c>
      <c r="B822" t="s">
        <v>26</v>
      </c>
      <c r="C822">
        <v>150</v>
      </c>
      <c r="D822" t="s">
        <v>29</v>
      </c>
      <c r="E822" s="1">
        <v>45210</v>
      </c>
      <c r="F822">
        <v>108</v>
      </c>
      <c r="G822">
        <v>4.7</v>
      </c>
      <c r="H822" t="str">
        <f>TEXT(calls[[#This Row],[Date of Call]],"DDDD")</f>
        <v>Wednesday</v>
      </c>
      <c r="I822">
        <f>ROUND(calls[[#This Row],[Satisfaction Rating]],0)</f>
        <v>5</v>
      </c>
      <c r="N822" t="str" cm="1">
        <f t="array" ref="N822">_xlfn.IFS(_xlfn.SINGLE(calls[Duration])&lt;30,"UNDER 30 MINS",_xlfn.SINGLE(calls[Duration])&lt;60,"30 T0 60 MINS",_xlfn.SINGLE(calls[Duration])&lt;120,"1 TO 2 HRS",TRUE,"ABOVE 2 HRS")</f>
        <v>ABOVE 2 HRS</v>
      </c>
    </row>
    <row r="823" spans="1:14" x14ac:dyDescent="0.3">
      <c r="A823" t="s">
        <v>857</v>
      </c>
      <c r="B823" t="s">
        <v>37</v>
      </c>
      <c r="C823">
        <v>69</v>
      </c>
      <c r="D823" t="s">
        <v>42</v>
      </c>
      <c r="E823" s="1">
        <v>45210</v>
      </c>
      <c r="F823">
        <v>36</v>
      </c>
      <c r="G823">
        <v>4.5</v>
      </c>
      <c r="H823" t="str">
        <f>TEXT(calls[[#This Row],[Date of Call]],"DDDD")</f>
        <v>Wednesday</v>
      </c>
      <c r="I823">
        <f>ROUND(calls[[#This Row],[Satisfaction Rating]],0)</f>
        <v>5</v>
      </c>
      <c r="N823" t="str" cm="1">
        <f t="array" ref="N823">_xlfn.IFS(_xlfn.SINGLE(calls[Duration])&lt;30,"UNDER 30 MINS",_xlfn.SINGLE(calls[Duration])&lt;60,"30 T0 60 MINS",_xlfn.SINGLE(calls[Duration])&lt;120,"1 TO 2 HRS",TRUE,"ABOVE 2 HRS")</f>
        <v>1 TO 2 HRS</v>
      </c>
    </row>
    <row r="824" spans="1:14" x14ac:dyDescent="0.3">
      <c r="A824" t="s">
        <v>858</v>
      </c>
      <c r="B824" t="s">
        <v>12</v>
      </c>
      <c r="C824">
        <v>120</v>
      </c>
      <c r="D824" t="s">
        <v>23</v>
      </c>
      <c r="E824" s="1">
        <v>45211</v>
      </c>
      <c r="F824">
        <v>140</v>
      </c>
      <c r="G824">
        <v>4.5999999999999996</v>
      </c>
      <c r="H824" t="str">
        <f>TEXT(calls[[#This Row],[Date of Call]],"DDDD")</f>
        <v>Thursday</v>
      </c>
      <c r="I824">
        <f>ROUND(calls[[#This Row],[Satisfaction Rating]],0)</f>
        <v>5</v>
      </c>
      <c r="N824" t="str" cm="1">
        <f t="array" ref="N824">_xlfn.IFS(_xlfn.SINGLE(calls[Duration])&lt;30,"UNDER 30 MINS",_xlfn.SINGLE(calls[Duration])&lt;60,"30 T0 60 MINS",_xlfn.SINGLE(calls[Duration])&lt;120,"1 TO 2 HRS",TRUE,"ABOVE 2 HRS")</f>
        <v>ABOVE 2 HRS</v>
      </c>
    </row>
    <row r="825" spans="1:14" x14ac:dyDescent="0.3">
      <c r="A825" t="s">
        <v>859</v>
      </c>
      <c r="B825" t="s">
        <v>22</v>
      </c>
      <c r="C825">
        <v>126</v>
      </c>
      <c r="D825" t="s">
        <v>36</v>
      </c>
      <c r="E825" s="1">
        <v>45211</v>
      </c>
      <c r="F825">
        <v>50</v>
      </c>
      <c r="G825">
        <v>4.8</v>
      </c>
      <c r="H825" t="str">
        <f>TEXT(calls[[#This Row],[Date of Call]],"DDDD")</f>
        <v>Thursday</v>
      </c>
      <c r="I825">
        <f>ROUND(calls[[#This Row],[Satisfaction Rating]],0)</f>
        <v>5</v>
      </c>
      <c r="N825" t="str" cm="1">
        <f t="array" ref="N825">_xlfn.IFS(_xlfn.SINGLE(calls[Duration])&lt;30,"UNDER 30 MINS",_xlfn.SINGLE(calls[Duration])&lt;60,"30 T0 60 MINS",_xlfn.SINGLE(calls[Duration])&lt;120,"1 TO 2 HRS",TRUE,"ABOVE 2 HRS")</f>
        <v>ABOVE 2 HRS</v>
      </c>
    </row>
    <row r="826" spans="1:14" x14ac:dyDescent="0.3">
      <c r="A826" t="s">
        <v>860</v>
      </c>
      <c r="B826" t="s">
        <v>37</v>
      </c>
      <c r="C826">
        <v>120</v>
      </c>
      <c r="D826" t="s">
        <v>13</v>
      </c>
      <c r="E826" s="1">
        <v>45211</v>
      </c>
      <c r="F826">
        <v>195</v>
      </c>
      <c r="G826">
        <v>4.3</v>
      </c>
      <c r="H826" t="str">
        <f>TEXT(calls[[#This Row],[Date of Call]],"DDDD")</f>
        <v>Thursday</v>
      </c>
      <c r="I826">
        <f>ROUND(calls[[#This Row],[Satisfaction Rating]],0)</f>
        <v>4</v>
      </c>
      <c r="N826" t="str" cm="1">
        <f t="array" ref="N826">_xlfn.IFS(_xlfn.SINGLE(calls[Duration])&lt;30,"UNDER 30 MINS",_xlfn.SINGLE(calls[Duration])&lt;60,"30 T0 60 MINS",_xlfn.SINGLE(calls[Duration])&lt;120,"1 TO 2 HRS",TRUE,"ABOVE 2 HRS")</f>
        <v>ABOVE 2 HRS</v>
      </c>
    </row>
    <row r="827" spans="1:14" x14ac:dyDescent="0.3">
      <c r="A827" t="s">
        <v>861</v>
      </c>
      <c r="B827" t="s">
        <v>22</v>
      </c>
      <c r="C827">
        <v>139</v>
      </c>
      <c r="D827" t="s">
        <v>23</v>
      </c>
      <c r="E827" s="1">
        <v>45212</v>
      </c>
      <c r="F827">
        <v>48</v>
      </c>
      <c r="G827">
        <v>4.7</v>
      </c>
      <c r="H827" t="str">
        <f>TEXT(calls[[#This Row],[Date of Call]],"DDDD")</f>
        <v>Friday</v>
      </c>
      <c r="I827">
        <f>ROUND(calls[[#This Row],[Satisfaction Rating]],0)</f>
        <v>5</v>
      </c>
      <c r="N827" t="str" cm="1">
        <f t="array" ref="N827">_xlfn.IFS(_xlfn.SINGLE(calls[Duration])&lt;30,"UNDER 30 MINS",_xlfn.SINGLE(calls[Duration])&lt;60,"30 T0 60 MINS",_xlfn.SINGLE(calls[Duration])&lt;120,"1 TO 2 HRS",TRUE,"ABOVE 2 HRS")</f>
        <v>ABOVE 2 HRS</v>
      </c>
    </row>
    <row r="828" spans="1:14" x14ac:dyDescent="0.3">
      <c r="A828" t="s">
        <v>862</v>
      </c>
      <c r="B828" t="s">
        <v>41</v>
      </c>
      <c r="C828">
        <v>124</v>
      </c>
      <c r="D828" t="s">
        <v>42</v>
      </c>
      <c r="E828" s="1">
        <v>45213</v>
      </c>
      <c r="F828">
        <v>29</v>
      </c>
      <c r="G828">
        <v>4.8</v>
      </c>
      <c r="H828" t="str">
        <f>TEXT(calls[[#This Row],[Date of Call]],"DDDD")</f>
        <v>Saturday</v>
      </c>
      <c r="I828">
        <f>ROUND(calls[[#This Row],[Satisfaction Rating]],0)</f>
        <v>5</v>
      </c>
      <c r="N828" t="str" cm="1">
        <f t="array" ref="N828">_xlfn.IFS(_xlfn.SINGLE(calls[Duration])&lt;30,"UNDER 30 MINS",_xlfn.SINGLE(calls[Duration])&lt;60,"30 T0 60 MINS",_xlfn.SINGLE(calls[Duration])&lt;120,"1 TO 2 HRS",TRUE,"ABOVE 2 HRS")</f>
        <v>ABOVE 2 HRS</v>
      </c>
    </row>
    <row r="829" spans="1:14" x14ac:dyDescent="0.3">
      <c r="A829" t="s">
        <v>863</v>
      </c>
      <c r="B829" t="s">
        <v>12</v>
      </c>
      <c r="C829">
        <v>108</v>
      </c>
      <c r="D829" t="s">
        <v>13</v>
      </c>
      <c r="E829" s="1">
        <v>45213</v>
      </c>
      <c r="F829">
        <v>44</v>
      </c>
      <c r="G829">
        <v>4.7</v>
      </c>
      <c r="H829" t="str">
        <f>TEXT(calls[[#This Row],[Date of Call]],"DDDD")</f>
        <v>Saturday</v>
      </c>
      <c r="I829">
        <f>ROUND(calls[[#This Row],[Satisfaction Rating]],0)</f>
        <v>5</v>
      </c>
      <c r="N829" t="str" cm="1">
        <f t="array" ref="N829">_xlfn.IFS(_xlfn.SINGLE(calls[Duration])&lt;30,"UNDER 30 MINS",_xlfn.SINGLE(calls[Duration])&lt;60,"30 T0 60 MINS",_xlfn.SINGLE(calls[Duration])&lt;120,"1 TO 2 HRS",TRUE,"ABOVE 2 HRS")</f>
        <v>1 TO 2 HRS</v>
      </c>
    </row>
    <row r="830" spans="1:14" x14ac:dyDescent="0.3">
      <c r="A830" t="s">
        <v>864</v>
      </c>
      <c r="B830" t="s">
        <v>18</v>
      </c>
      <c r="C830">
        <v>132</v>
      </c>
      <c r="D830" t="s">
        <v>29</v>
      </c>
      <c r="E830" s="1">
        <v>45213</v>
      </c>
      <c r="F830">
        <v>140</v>
      </c>
      <c r="G830">
        <v>4.3</v>
      </c>
      <c r="H830" t="str">
        <f>TEXT(calls[[#This Row],[Date of Call]],"DDDD")</f>
        <v>Saturday</v>
      </c>
      <c r="I830">
        <f>ROUND(calls[[#This Row],[Satisfaction Rating]],0)</f>
        <v>4</v>
      </c>
      <c r="N830" t="str" cm="1">
        <f t="array" ref="N830">_xlfn.IFS(_xlfn.SINGLE(calls[Duration])&lt;30,"UNDER 30 MINS",_xlfn.SINGLE(calls[Duration])&lt;60,"30 T0 60 MINS",_xlfn.SINGLE(calls[Duration])&lt;120,"1 TO 2 HRS",TRUE,"ABOVE 2 HRS")</f>
        <v>ABOVE 2 HRS</v>
      </c>
    </row>
    <row r="831" spans="1:14" x14ac:dyDescent="0.3">
      <c r="A831" t="s">
        <v>865</v>
      </c>
      <c r="B831" t="s">
        <v>14</v>
      </c>
      <c r="C831">
        <v>67</v>
      </c>
      <c r="D831" t="s">
        <v>29</v>
      </c>
      <c r="E831" s="1">
        <v>45213</v>
      </c>
      <c r="F831">
        <v>105</v>
      </c>
      <c r="G831">
        <v>3.8</v>
      </c>
      <c r="H831" t="str">
        <f>TEXT(calls[[#This Row],[Date of Call]],"DDDD")</f>
        <v>Saturday</v>
      </c>
      <c r="I831">
        <f>ROUND(calls[[#This Row],[Satisfaction Rating]],0)</f>
        <v>4</v>
      </c>
      <c r="N831" t="str" cm="1">
        <f t="array" ref="N831">_xlfn.IFS(_xlfn.SINGLE(calls[Duration])&lt;30,"UNDER 30 MINS",_xlfn.SINGLE(calls[Duration])&lt;60,"30 T0 60 MINS",_xlfn.SINGLE(calls[Duration])&lt;120,"1 TO 2 HRS",TRUE,"ABOVE 2 HRS")</f>
        <v>1 TO 2 HRS</v>
      </c>
    </row>
    <row r="832" spans="1:14" x14ac:dyDescent="0.3">
      <c r="A832" t="s">
        <v>866</v>
      </c>
      <c r="B832" t="s">
        <v>33</v>
      </c>
      <c r="C832">
        <v>125</v>
      </c>
      <c r="D832" t="s">
        <v>29</v>
      </c>
      <c r="E832" s="1">
        <v>45213</v>
      </c>
      <c r="F832">
        <v>82</v>
      </c>
      <c r="G832">
        <v>4.5999999999999996</v>
      </c>
      <c r="H832" t="str">
        <f>TEXT(calls[[#This Row],[Date of Call]],"DDDD")</f>
        <v>Saturday</v>
      </c>
      <c r="I832">
        <f>ROUND(calls[[#This Row],[Satisfaction Rating]],0)</f>
        <v>5</v>
      </c>
      <c r="N832" t="str" cm="1">
        <f t="array" ref="N832">_xlfn.IFS(_xlfn.SINGLE(calls[Duration])&lt;30,"UNDER 30 MINS",_xlfn.SINGLE(calls[Duration])&lt;60,"30 T0 60 MINS",_xlfn.SINGLE(calls[Duration])&lt;120,"1 TO 2 HRS",TRUE,"ABOVE 2 HRS")</f>
        <v>ABOVE 2 HRS</v>
      </c>
    </row>
    <row r="833" spans="1:14" x14ac:dyDescent="0.3">
      <c r="A833" t="s">
        <v>867</v>
      </c>
      <c r="B833" t="s">
        <v>12</v>
      </c>
      <c r="C833">
        <v>23</v>
      </c>
      <c r="D833" t="s">
        <v>13</v>
      </c>
      <c r="E833" s="1">
        <v>45213</v>
      </c>
      <c r="F833">
        <v>24</v>
      </c>
      <c r="G833">
        <v>2.9</v>
      </c>
      <c r="H833" t="str">
        <f>TEXT(calls[[#This Row],[Date of Call]],"DDDD")</f>
        <v>Saturday</v>
      </c>
      <c r="I833">
        <f>ROUND(calls[[#This Row],[Satisfaction Rating]],0)</f>
        <v>3</v>
      </c>
      <c r="N833" t="str" cm="1">
        <f t="array" ref="N833">_xlfn.IFS(_xlfn.SINGLE(calls[Duration])&lt;30,"UNDER 30 MINS",_xlfn.SINGLE(calls[Duration])&lt;60,"30 T0 60 MINS",_xlfn.SINGLE(calls[Duration])&lt;120,"1 TO 2 HRS",TRUE,"ABOVE 2 HRS")</f>
        <v>UNDER 30 MINS</v>
      </c>
    </row>
    <row r="834" spans="1:14" x14ac:dyDescent="0.3">
      <c r="A834" t="s">
        <v>868</v>
      </c>
      <c r="B834" t="s">
        <v>28</v>
      </c>
      <c r="C834">
        <v>131</v>
      </c>
      <c r="D834" t="s">
        <v>42</v>
      </c>
      <c r="E834" s="1">
        <v>45214</v>
      </c>
      <c r="F834">
        <v>205</v>
      </c>
      <c r="G834">
        <v>4.8</v>
      </c>
      <c r="H834" t="str">
        <f>TEXT(calls[[#This Row],[Date of Call]],"DDDD")</f>
        <v>Sunday</v>
      </c>
      <c r="I834">
        <f>ROUND(calls[[#This Row],[Satisfaction Rating]],0)</f>
        <v>5</v>
      </c>
      <c r="N834" t="str" cm="1">
        <f t="array" ref="N834">_xlfn.IFS(_xlfn.SINGLE(calls[Duration])&lt;30,"UNDER 30 MINS",_xlfn.SINGLE(calls[Duration])&lt;60,"30 T0 60 MINS",_xlfn.SINGLE(calls[Duration])&lt;120,"1 TO 2 HRS",TRUE,"ABOVE 2 HRS")</f>
        <v>ABOVE 2 HRS</v>
      </c>
    </row>
    <row r="835" spans="1:14" x14ac:dyDescent="0.3">
      <c r="A835" t="s">
        <v>869</v>
      </c>
      <c r="B835" t="s">
        <v>18</v>
      </c>
      <c r="C835">
        <v>56</v>
      </c>
      <c r="D835" t="s">
        <v>23</v>
      </c>
      <c r="E835" s="1">
        <v>45214</v>
      </c>
      <c r="F835">
        <v>225</v>
      </c>
      <c r="G835">
        <v>4.9000000000000004</v>
      </c>
      <c r="H835" t="str">
        <f>TEXT(calls[[#This Row],[Date of Call]],"DDDD")</f>
        <v>Sunday</v>
      </c>
      <c r="I835">
        <f>ROUND(calls[[#This Row],[Satisfaction Rating]],0)</f>
        <v>5</v>
      </c>
      <c r="N835" t="str" cm="1">
        <f t="array" ref="N835">_xlfn.IFS(_xlfn.SINGLE(calls[Duration])&lt;30,"UNDER 30 MINS",_xlfn.SINGLE(calls[Duration])&lt;60,"30 T0 60 MINS",_xlfn.SINGLE(calls[Duration])&lt;120,"1 TO 2 HRS",TRUE,"ABOVE 2 HRS")</f>
        <v>30 T0 60 MINS</v>
      </c>
    </row>
    <row r="836" spans="1:14" x14ac:dyDescent="0.3">
      <c r="A836" t="s">
        <v>870</v>
      </c>
      <c r="B836" t="s">
        <v>28</v>
      </c>
      <c r="C836">
        <v>70</v>
      </c>
      <c r="D836" t="s">
        <v>42</v>
      </c>
      <c r="E836" s="1">
        <v>45214</v>
      </c>
      <c r="F836">
        <v>50</v>
      </c>
      <c r="G836">
        <v>3.4</v>
      </c>
      <c r="H836" t="str">
        <f>TEXT(calls[[#This Row],[Date of Call]],"DDDD")</f>
        <v>Sunday</v>
      </c>
      <c r="I836">
        <f>ROUND(calls[[#This Row],[Satisfaction Rating]],0)</f>
        <v>3</v>
      </c>
      <c r="N836" t="str" cm="1">
        <f t="array" ref="N836">_xlfn.IFS(_xlfn.SINGLE(calls[Duration])&lt;30,"UNDER 30 MINS",_xlfn.SINGLE(calls[Duration])&lt;60,"30 T0 60 MINS",_xlfn.SINGLE(calls[Duration])&lt;120,"1 TO 2 HRS",TRUE,"ABOVE 2 HRS")</f>
        <v>1 TO 2 HRS</v>
      </c>
    </row>
    <row r="837" spans="1:14" x14ac:dyDescent="0.3">
      <c r="A837" t="s">
        <v>871</v>
      </c>
      <c r="B837" t="s">
        <v>28</v>
      </c>
      <c r="C837">
        <v>55</v>
      </c>
      <c r="D837" t="s">
        <v>29</v>
      </c>
      <c r="E837" s="1">
        <v>45214</v>
      </c>
      <c r="F837">
        <v>80</v>
      </c>
      <c r="G837">
        <v>4.3</v>
      </c>
      <c r="H837" t="str">
        <f>TEXT(calls[[#This Row],[Date of Call]],"DDDD")</f>
        <v>Sunday</v>
      </c>
      <c r="I837">
        <f>ROUND(calls[[#This Row],[Satisfaction Rating]],0)</f>
        <v>4</v>
      </c>
      <c r="N837" t="str" cm="1">
        <f t="array" ref="N837">_xlfn.IFS(_xlfn.SINGLE(calls[Duration])&lt;30,"UNDER 30 MINS",_xlfn.SINGLE(calls[Duration])&lt;60,"30 T0 60 MINS",_xlfn.SINGLE(calls[Duration])&lt;120,"1 TO 2 HRS",TRUE,"ABOVE 2 HRS")</f>
        <v>30 T0 60 MINS</v>
      </c>
    </row>
    <row r="838" spans="1:14" x14ac:dyDescent="0.3">
      <c r="A838" t="s">
        <v>872</v>
      </c>
      <c r="B838" t="s">
        <v>33</v>
      </c>
      <c r="C838">
        <v>77</v>
      </c>
      <c r="D838" t="s">
        <v>23</v>
      </c>
      <c r="E838" s="1">
        <v>45214</v>
      </c>
      <c r="F838">
        <v>78</v>
      </c>
      <c r="G838">
        <v>3.9</v>
      </c>
      <c r="H838" t="str">
        <f>TEXT(calls[[#This Row],[Date of Call]],"DDDD")</f>
        <v>Sunday</v>
      </c>
      <c r="I838">
        <f>ROUND(calls[[#This Row],[Satisfaction Rating]],0)</f>
        <v>4</v>
      </c>
      <c r="N838" t="str" cm="1">
        <f t="array" ref="N838">_xlfn.IFS(_xlfn.SINGLE(calls[Duration])&lt;30,"UNDER 30 MINS",_xlfn.SINGLE(calls[Duration])&lt;60,"30 T0 60 MINS",_xlfn.SINGLE(calls[Duration])&lt;120,"1 TO 2 HRS",TRUE,"ABOVE 2 HRS")</f>
        <v>1 TO 2 HRS</v>
      </c>
    </row>
    <row r="839" spans="1:14" x14ac:dyDescent="0.3">
      <c r="A839" t="s">
        <v>873</v>
      </c>
      <c r="B839" t="s">
        <v>26</v>
      </c>
      <c r="C839">
        <v>133</v>
      </c>
      <c r="D839" t="s">
        <v>42</v>
      </c>
      <c r="E839" s="1">
        <v>45215</v>
      </c>
      <c r="F839">
        <v>40</v>
      </c>
      <c r="G839">
        <v>3.9</v>
      </c>
      <c r="H839" t="str">
        <f>TEXT(calls[[#This Row],[Date of Call]],"DDDD")</f>
        <v>Monday</v>
      </c>
      <c r="I839">
        <f>ROUND(calls[[#This Row],[Satisfaction Rating]],0)</f>
        <v>4</v>
      </c>
      <c r="N839" t="str" cm="1">
        <f t="array" ref="N839">_xlfn.IFS(_xlfn.SINGLE(calls[Duration])&lt;30,"UNDER 30 MINS",_xlfn.SINGLE(calls[Duration])&lt;60,"30 T0 60 MINS",_xlfn.SINGLE(calls[Duration])&lt;120,"1 TO 2 HRS",TRUE,"ABOVE 2 HRS")</f>
        <v>ABOVE 2 HRS</v>
      </c>
    </row>
    <row r="840" spans="1:14" x14ac:dyDescent="0.3">
      <c r="A840" t="s">
        <v>874</v>
      </c>
      <c r="B840" t="s">
        <v>33</v>
      </c>
      <c r="C840">
        <v>77</v>
      </c>
      <c r="D840" t="s">
        <v>23</v>
      </c>
      <c r="E840" s="1">
        <v>45215</v>
      </c>
      <c r="F840">
        <v>176</v>
      </c>
      <c r="G840">
        <v>1.5</v>
      </c>
      <c r="H840" t="str">
        <f>TEXT(calls[[#This Row],[Date of Call]],"DDDD")</f>
        <v>Monday</v>
      </c>
      <c r="I840">
        <f>ROUND(calls[[#This Row],[Satisfaction Rating]],0)</f>
        <v>2</v>
      </c>
      <c r="N840" t="str" cm="1">
        <f t="array" ref="N840">_xlfn.IFS(_xlfn.SINGLE(calls[Duration])&lt;30,"UNDER 30 MINS",_xlfn.SINGLE(calls[Duration])&lt;60,"30 T0 60 MINS",_xlfn.SINGLE(calls[Duration])&lt;120,"1 TO 2 HRS",TRUE,"ABOVE 2 HRS")</f>
        <v>1 TO 2 HRS</v>
      </c>
    </row>
    <row r="841" spans="1:14" x14ac:dyDescent="0.3">
      <c r="A841" t="s">
        <v>875</v>
      </c>
      <c r="B841" t="s">
        <v>50</v>
      </c>
      <c r="C841">
        <v>103</v>
      </c>
      <c r="D841" t="s">
        <v>42</v>
      </c>
      <c r="E841" s="1">
        <v>45215</v>
      </c>
      <c r="F841">
        <v>78</v>
      </c>
      <c r="G841">
        <v>3</v>
      </c>
      <c r="H841" t="str">
        <f>TEXT(calls[[#This Row],[Date of Call]],"DDDD")</f>
        <v>Monday</v>
      </c>
      <c r="I841">
        <f>ROUND(calls[[#This Row],[Satisfaction Rating]],0)</f>
        <v>3</v>
      </c>
      <c r="N841" t="str" cm="1">
        <f t="array" ref="N841">_xlfn.IFS(_xlfn.SINGLE(calls[Duration])&lt;30,"UNDER 30 MINS",_xlfn.SINGLE(calls[Duration])&lt;60,"30 T0 60 MINS",_xlfn.SINGLE(calls[Duration])&lt;120,"1 TO 2 HRS",TRUE,"ABOVE 2 HRS")</f>
        <v>1 TO 2 HRS</v>
      </c>
    </row>
    <row r="842" spans="1:14" x14ac:dyDescent="0.3">
      <c r="A842" t="s">
        <v>876</v>
      </c>
      <c r="B842" t="s">
        <v>37</v>
      </c>
      <c r="C842">
        <v>32</v>
      </c>
      <c r="D842" t="s">
        <v>23</v>
      </c>
      <c r="E842" s="1">
        <v>45215</v>
      </c>
      <c r="F842">
        <v>42</v>
      </c>
      <c r="G842">
        <v>4.2</v>
      </c>
      <c r="H842" t="str">
        <f>TEXT(calls[[#This Row],[Date of Call]],"DDDD")</f>
        <v>Monday</v>
      </c>
      <c r="I842">
        <f>ROUND(calls[[#This Row],[Satisfaction Rating]],0)</f>
        <v>4</v>
      </c>
      <c r="N842" t="str" cm="1">
        <f t="array" ref="N842">_xlfn.IFS(_xlfn.SINGLE(calls[Duration])&lt;30,"UNDER 30 MINS",_xlfn.SINGLE(calls[Duration])&lt;60,"30 T0 60 MINS",_xlfn.SINGLE(calls[Duration])&lt;120,"1 TO 2 HRS",TRUE,"ABOVE 2 HRS")</f>
        <v>30 T0 60 MINS</v>
      </c>
    </row>
    <row r="843" spans="1:14" x14ac:dyDescent="0.3">
      <c r="A843" t="s">
        <v>877</v>
      </c>
      <c r="B843" t="s">
        <v>26</v>
      </c>
      <c r="C843">
        <v>30</v>
      </c>
      <c r="D843" t="s">
        <v>42</v>
      </c>
      <c r="E843" s="1">
        <v>45215</v>
      </c>
      <c r="F843">
        <v>38</v>
      </c>
      <c r="G843">
        <v>3.7</v>
      </c>
      <c r="H843" t="str">
        <f>TEXT(calls[[#This Row],[Date of Call]],"DDDD")</f>
        <v>Monday</v>
      </c>
      <c r="I843">
        <f>ROUND(calls[[#This Row],[Satisfaction Rating]],0)</f>
        <v>4</v>
      </c>
      <c r="N843" t="str" cm="1">
        <f t="array" ref="N843">_xlfn.IFS(_xlfn.SINGLE(calls[Duration])&lt;30,"UNDER 30 MINS",_xlfn.SINGLE(calls[Duration])&lt;60,"30 T0 60 MINS",_xlfn.SINGLE(calls[Duration])&lt;120,"1 TO 2 HRS",TRUE,"ABOVE 2 HRS")</f>
        <v>30 T0 60 MINS</v>
      </c>
    </row>
    <row r="844" spans="1:14" x14ac:dyDescent="0.3">
      <c r="A844" t="s">
        <v>878</v>
      </c>
      <c r="B844" t="s">
        <v>22</v>
      </c>
      <c r="C844">
        <v>87</v>
      </c>
      <c r="D844" t="s">
        <v>36</v>
      </c>
      <c r="E844" s="1">
        <v>45215</v>
      </c>
      <c r="F844">
        <v>27</v>
      </c>
      <c r="G844">
        <v>4.2</v>
      </c>
      <c r="H844" t="str">
        <f>TEXT(calls[[#This Row],[Date of Call]],"DDDD")</f>
        <v>Monday</v>
      </c>
      <c r="I844">
        <f>ROUND(calls[[#This Row],[Satisfaction Rating]],0)</f>
        <v>4</v>
      </c>
      <c r="N844" t="str" cm="1">
        <f t="array" ref="N844">_xlfn.IFS(_xlfn.SINGLE(calls[Duration])&lt;30,"UNDER 30 MINS",_xlfn.SINGLE(calls[Duration])&lt;60,"30 T0 60 MINS",_xlfn.SINGLE(calls[Duration])&lt;120,"1 TO 2 HRS",TRUE,"ABOVE 2 HRS")</f>
        <v>1 TO 2 HRS</v>
      </c>
    </row>
    <row r="845" spans="1:14" x14ac:dyDescent="0.3">
      <c r="A845" t="s">
        <v>879</v>
      </c>
      <c r="B845" t="s">
        <v>33</v>
      </c>
      <c r="C845">
        <v>137</v>
      </c>
      <c r="D845" t="s">
        <v>13</v>
      </c>
      <c r="E845" s="1">
        <v>45216</v>
      </c>
      <c r="F845">
        <v>45</v>
      </c>
      <c r="G845">
        <v>4.4000000000000004</v>
      </c>
      <c r="H845" t="str">
        <f>TEXT(calls[[#This Row],[Date of Call]],"DDDD")</f>
        <v>Tuesday</v>
      </c>
      <c r="I845">
        <f>ROUND(calls[[#This Row],[Satisfaction Rating]],0)</f>
        <v>4</v>
      </c>
      <c r="N845" t="str" cm="1">
        <f t="array" ref="N845">_xlfn.IFS(_xlfn.SINGLE(calls[Duration])&lt;30,"UNDER 30 MINS",_xlfn.SINGLE(calls[Duration])&lt;60,"30 T0 60 MINS",_xlfn.SINGLE(calls[Duration])&lt;120,"1 TO 2 HRS",TRUE,"ABOVE 2 HRS")</f>
        <v>ABOVE 2 HRS</v>
      </c>
    </row>
    <row r="846" spans="1:14" x14ac:dyDescent="0.3">
      <c r="A846" t="s">
        <v>880</v>
      </c>
      <c r="B846" t="s">
        <v>45</v>
      </c>
      <c r="C846">
        <v>96</v>
      </c>
      <c r="D846" t="s">
        <v>42</v>
      </c>
      <c r="E846" s="1">
        <v>45216</v>
      </c>
      <c r="F846">
        <v>215</v>
      </c>
      <c r="G846">
        <v>4</v>
      </c>
      <c r="H846" t="str">
        <f>TEXT(calls[[#This Row],[Date of Call]],"DDDD")</f>
        <v>Tuesday</v>
      </c>
      <c r="I846">
        <f>ROUND(calls[[#This Row],[Satisfaction Rating]],0)</f>
        <v>4</v>
      </c>
      <c r="N846" t="str" cm="1">
        <f t="array" ref="N846">_xlfn.IFS(_xlfn.SINGLE(calls[Duration])&lt;30,"UNDER 30 MINS",_xlfn.SINGLE(calls[Duration])&lt;60,"30 T0 60 MINS",_xlfn.SINGLE(calls[Duration])&lt;120,"1 TO 2 HRS",TRUE,"ABOVE 2 HRS")</f>
        <v>1 TO 2 HRS</v>
      </c>
    </row>
    <row r="847" spans="1:14" x14ac:dyDescent="0.3">
      <c r="A847" t="s">
        <v>881</v>
      </c>
      <c r="B847" t="s">
        <v>41</v>
      </c>
      <c r="C847">
        <v>155</v>
      </c>
      <c r="D847" t="s">
        <v>42</v>
      </c>
      <c r="E847" s="1">
        <v>45217</v>
      </c>
      <c r="F847">
        <v>72</v>
      </c>
      <c r="G847">
        <v>4.7</v>
      </c>
      <c r="H847" t="str">
        <f>TEXT(calls[[#This Row],[Date of Call]],"DDDD")</f>
        <v>Wednesday</v>
      </c>
      <c r="I847">
        <f>ROUND(calls[[#This Row],[Satisfaction Rating]],0)</f>
        <v>5</v>
      </c>
      <c r="N847" t="str" cm="1">
        <f t="array" ref="N847">_xlfn.IFS(_xlfn.SINGLE(calls[Duration])&lt;30,"UNDER 30 MINS",_xlfn.SINGLE(calls[Duration])&lt;60,"30 T0 60 MINS",_xlfn.SINGLE(calls[Duration])&lt;120,"1 TO 2 HRS",TRUE,"ABOVE 2 HRS")</f>
        <v>ABOVE 2 HRS</v>
      </c>
    </row>
    <row r="848" spans="1:14" x14ac:dyDescent="0.3">
      <c r="A848" t="s">
        <v>882</v>
      </c>
      <c r="B848" t="s">
        <v>26</v>
      </c>
      <c r="C848">
        <v>173</v>
      </c>
      <c r="D848" t="s">
        <v>29</v>
      </c>
      <c r="E848" s="1">
        <v>45217</v>
      </c>
      <c r="F848">
        <v>160</v>
      </c>
      <c r="G848">
        <v>2.8</v>
      </c>
      <c r="H848" t="str">
        <f>TEXT(calls[[#This Row],[Date of Call]],"DDDD")</f>
        <v>Wednesday</v>
      </c>
      <c r="I848">
        <f>ROUND(calls[[#This Row],[Satisfaction Rating]],0)</f>
        <v>3</v>
      </c>
      <c r="N848" t="str" cm="1">
        <f t="array" ref="N848">_xlfn.IFS(_xlfn.SINGLE(calls[Duration])&lt;30,"UNDER 30 MINS",_xlfn.SINGLE(calls[Duration])&lt;60,"30 T0 60 MINS",_xlfn.SINGLE(calls[Duration])&lt;120,"1 TO 2 HRS",TRUE,"ABOVE 2 HRS")</f>
        <v>ABOVE 2 HRS</v>
      </c>
    </row>
    <row r="849" spans="1:14" x14ac:dyDescent="0.3">
      <c r="A849" t="s">
        <v>883</v>
      </c>
      <c r="B849" t="s">
        <v>41</v>
      </c>
      <c r="C849">
        <v>127</v>
      </c>
      <c r="D849" t="s">
        <v>42</v>
      </c>
      <c r="E849" s="1">
        <v>45217</v>
      </c>
      <c r="F849">
        <v>165</v>
      </c>
      <c r="G849">
        <v>2.5</v>
      </c>
      <c r="H849" t="str">
        <f>TEXT(calls[[#This Row],[Date of Call]],"DDDD")</f>
        <v>Wednesday</v>
      </c>
      <c r="I849">
        <f>ROUND(calls[[#This Row],[Satisfaction Rating]],0)</f>
        <v>3</v>
      </c>
      <c r="N849" t="str" cm="1">
        <f t="array" ref="N849">_xlfn.IFS(_xlfn.SINGLE(calls[Duration])&lt;30,"UNDER 30 MINS",_xlfn.SINGLE(calls[Duration])&lt;60,"30 T0 60 MINS",_xlfn.SINGLE(calls[Duration])&lt;120,"1 TO 2 HRS",TRUE,"ABOVE 2 HRS")</f>
        <v>ABOVE 2 HRS</v>
      </c>
    </row>
    <row r="850" spans="1:14" x14ac:dyDescent="0.3">
      <c r="A850" t="s">
        <v>884</v>
      </c>
      <c r="B850" t="s">
        <v>18</v>
      </c>
      <c r="C850">
        <v>117</v>
      </c>
      <c r="D850" t="s">
        <v>29</v>
      </c>
      <c r="E850" s="1">
        <v>45217</v>
      </c>
      <c r="F850">
        <v>120</v>
      </c>
      <c r="G850">
        <v>3.4</v>
      </c>
      <c r="H850" t="str">
        <f>TEXT(calls[[#This Row],[Date of Call]],"DDDD")</f>
        <v>Wednesday</v>
      </c>
      <c r="I850">
        <f>ROUND(calls[[#This Row],[Satisfaction Rating]],0)</f>
        <v>3</v>
      </c>
      <c r="N850" t="str" cm="1">
        <f t="array" ref="N850">_xlfn.IFS(_xlfn.SINGLE(calls[Duration])&lt;30,"UNDER 30 MINS",_xlfn.SINGLE(calls[Duration])&lt;60,"30 T0 60 MINS",_xlfn.SINGLE(calls[Duration])&lt;120,"1 TO 2 HRS",TRUE,"ABOVE 2 HRS")</f>
        <v>1 TO 2 HRS</v>
      </c>
    </row>
    <row r="851" spans="1:14" x14ac:dyDescent="0.3">
      <c r="A851" t="s">
        <v>885</v>
      </c>
      <c r="B851" t="s">
        <v>12</v>
      </c>
      <c r="C851">
        <v>133</v>
      </c>
      <c r="D851" t="s">
        <v>23</v>
      </c>
      <c r="E851" s="1">
        <v>45217</v>
      </c>
      <c r="F851">
        <v>117</v>
      </c>
      <c r="G851">
        <v>4.8</v>
      </c>
      <c r="H851" t="str">
        <f>TEXT(calls[[#This Row],[Date of Call]],"DDDD")</f>
        <v>Wednesday</v>
      </c>
      <c r="I851">
        <f>ROUND(calls[[#This Row],[Satisfaction Rating]],0)</f>
        <v>5</v>
      </c>
      <c r="N851" t="str" cm="1">
        <f t="array" ref="N851">_xlfn.IFS(_xlfn.SINGLE(calls[Duration])&lt;30,"UNDER 30 MINS",_xlfn.SINGLE(calls[Duration])&lt;60,"30 T0 60 MINS",_xlfn.SINGLE(calls[Duration])&lt;120,"1 TO 2 HRS",TRUE,"ABOVE 2 HRS")</f>
        <v>ABOVE 2 HRS</v>
      </c>
    </row>
    <row r="852" spans="1:14" x14ac:dyDescent="0.3">
      <c r="A852" t="s">
        <v>886</v>
      </c>
      <c r="B852" t="s">
        <v>19</v>
      </c>
      <c r="C852">
        <v>166</v>
      </c>
      <c r="D852" t="s">
        <v>36</v>
      </c>
      <c r="E852" s="1">
        <v>45218</v>
      </c>
      <c r="F852">
        <v>29</v>
      </c>
      <c r="G852">
        <v>4.3</v>
      </c>
      <c r="H852" t="str">
        <f>TEXT(calls[[#This Row],[Date of Call]],"DDDD")</f>
        <v>Thursday</v>
      </c>
      <c r="I852">
        <f>ROUND(calls[[#This Row],[Satisfaction Rating]],0)</f>
        <v>4</v>
      </c>
      <c r="N852" t="str" cm="1">
        <f t="array" ref="N852">_xlfn.IFS(_xlfn.SINGLE(calls[Duration])&lt;30,"UNDER 30 MINS",_xlfn.SINGLE(calls[Duration])&lt;60,"30 T0 60 MINS",_xlfn.SINGLE(calls[Duration])&lt;120,"1 TO 2 HRS",TRUE,"ABOVE 2 HRS")</f>
        <v>ABOVE 2 HRS</v>
      </c>
    </row>
    <row r="853" spans="1:14" x14ac:dyDescent="0.3">
      <c r="A853" t="s">
        <v>887</v>
      </c>
      <c r="B853" t="s">
        <v>12</v>
      </c>
      <c r="C853">
        <v>50</v>
      </c>
      <c r="D853" t="s">
        <v>29</v>
      </c>
      <c r="E853" s="1">
        <v>45218</v>
      </c>
      <c r="F853">
        <v>64</v>
      </c>
      <c r="G853">
        <v>4.5</v>
      </c>
      <c r="H853" t="str">
        <f>TEXT(calls[[#This Row],[Date of Call]],"DDDD")</f>
        <v>Thursday</v>
      </c>
      <c r="I853">
        <f>ROUND(calls[[#This Row],[Satisfaction Rating]],0)</f>
        <v>5</v>
      </c>
      <c r="N853" t="str" cm="1">
        <f t="array" ref="N853">_xlfn.IFS(_xlfn.SINGLE(calls[Duration])&lt;30,"UNDER 30 MINS",_xlfn.SINGLE(calls[Duration])&lt;60,"30 T0 60 MINS",_xlfn.SINGLE(calls[Duration])&lt;120,"1 TO 2 HRS",TRUE,"ABOVE 2 HRS")</f>
        <v>30 T0 60 MINS</v>
      </c>
    </row>
    <row r="854" spans="1:14" x14ac:dyDescent="0.3">
      <c r="A854" t="s">
        <v>888</v>
      </c>
      <c r="B854" t="s">
        <v>50</v>
      </c>
      <c r="C854">
        <v>43</v>
      </c>
      <c r="D854" t="s">
        <v>23</v>
      </c>
      <c r="E854" s="1">
        <v>45218</v>
      </c>
      <c r="F854">
        <v>84</v>
      </c>
      <c r="G854">
        <v>3.6</v>
      </c>
      <c r="H854" t="str">
        <f>TEXT(calls[[#This Row],[Date of Call]],"DDDD")</f>
        <v>Thursday</v>
      </c>
      <c r="I854">
        <f>ROUND(calls[[#This Row],[Satisfaction Rating]],0)</f>
        <v>4</v>
      </c>
      <c r="N854" t="str" cm="1">
        <f t="array" ref="N854">_xlfn.IFS(_xlfn.SINGLE(calls[Duration])&lt;30,"UNDER 30 MINS",_xlfn.SINGLE(calls[Duration])&lt;60,"30 T0 60 MINS",_xlfn.SINGLE(calls[Duration])&lt;120,"1 TO 2 HRS",TRUE,"ABOVE 2 HRS")</f>
        <v>30 T0 60 MINS</v>
      </c>
    </row>
    <row r="855" spans="1:14" x14ac:dyDescent="0.3">
      <c r="A855" t="s">
        <v>889</v>
      </c>
      <c r="B855" t="s">
        <v>45</v>
      </c>
      <c r="C855">
        <v>124</v>
      </c>
      <c r="D855" t="s">
        <v>42</v>
      </c>
      <c r="E855" s="1">
        <v>45218</v>
      </c>
      <c r="F855">
        <v>42</v>
      </c>
      <c r="G855">
        <v>3.7</v>
      </c>
      <c r="H855" t="str">
        <f>TEXT(calls[[#This Row],[Date of Call]],"DDDD")</f>
        <v>Thursday</v>
      </c>
      <c r="I855">
        <f>ROUND(calls[[#This Row],[Satisfaction Rating]],0)</f>
        <v>4</v>
      </c>
      <c r="N855" t="str" cm="1">
        <f t="array" ref="N855">_xlfn.IFS(_xlfn.SINGLE(calls[Duration])&lt;30,"UNDER 30 MINS",_xlfn.SINGLE(calls[Duration])&lt;60,"30 T0 60 MINS",_xlfn.SINGLE(calls[Duration])&lt;120,"1 TO 2 HRS",TRUE,"ABOVE 2 HRS")</f>
        <v>ABOVE 2 HRS</v>
      </c>
    </row>
    <row r="856" spans="1:14" x14ac:dyDescent="0.3">
      <c r="A856" t="s">
        <v>890</v>
      </c>
      <c r="B856" t="s">
        <v>26</v>
      </c>
      <c r="C856">
        <v>94</v>
      </c>
      <c r="D856" t="s">
        <v>42</v>
      </c>
      <c r="E856" s="1">
        <v>45218</v>
      </c>
      <c r="F856">
        <v>120</v>
      </c>
      <c r="G856">
        <v>3.5</v>
      </c>
      <c r="H856" t="str">
        <f>TEXT(calls[[#This Row],[Date of Call]],"DDDD")</f>
        <v>Thursday</v>
      </c>
      <c r="I856">
        <f>ROUND(calls[[#This Row],[Satisfaction Rating]],0)</f>
        <v>4</v>
      </c>
      <c r="N856" t="str" cm="1">
        <f t="array" ref="N856">_xlfn.IFS(_xlfn.SINGLE(calls[Duration])&lt;30,"UNDER 30 MINS",_xlfn.SINGLE(calls[Duration])&lt;60,"30 T0 60 MINS",_xlfn.SINGLE(calls[Duration])&lt;120,"1 TO 2 HRS",TRUE,"ABOVE 2 HRS")</f>
        <v>1 TO 2 HRS</v>
      </c>
    </row>
    <row r="857" spans="1:14" x14ac:dyDescent="0.3">
      <c r="A857" t="s">
        <v>891</v>
      </c>
      <c r="B857" t="s">
        <v>50</v>
      </c>
      <c r="C857">
        <v>126</v>
      </c>
      <c r="D857" t="s">
        <v>36</v>
      </c>
      <c r="E857" s="1">
        <v>45219</v>
      </c>
      <c r="F857">
        <v>80</v>
      </c>
      <c r="G857">
        <v>4.7</v>
      </c>
      <c r="H857" t="str">
        <f>TEXT(calls[[#This Row],[Date of Call]],"DDDD")</f>
        <v>Friday</v>
      </c>
      <c r="I857">
        <f>ROUND(calls[[#This Row],[Satisfaction Rating]],0)</f>
        <v>5</v>
      </c>
      <c r="N857" t="str" cm="1">
        <f t="array" ref="N857">_xlfn.IFS(_xlfn.SINGLE(calls[Duration])&lt;30,"UNDER 30 MINS",_xlfn.SINGLE(calls[Duration])&lt;60,"30 T0 60 MINS",_xlfn.SINGLE(calls[Duration])&lt;120,"1 TO 2 HRS",TRUE,"ABOVE 2 HRS")</f>
        <v>ABOVE 2 HRS</v>
      </c>
    </row>
    <row r="858" spans="1:14" x14ac:dyDescent="0.3">
      <c r="A858" t="s">
        <v>892</v>
      </c>
      <c r="B858" t="s">
        <v>19</v>
      </c>
      <c r="C858">
        <v>105</v>
      </c>
      <c r="D858" t="s">
        <v>29</v>
      </c>
      <c r="E858" s="1">
        <v>45219</v>
      </c>
      <c r="F858">
        <v>185</v>
      </c>
      <c r="G858">
        <v>3.5</v>
      </c>
      <c r="H858" t="str">
        <f>TEXT(calls[[#This Row],[Date of Call]],"DDDD")</f>
        <v>Friday</v>
      </c>
      <c r="I858">
        <f>ROUND(calls[[#This Row],[Satisfaction Rating]],0)</f>
        <v>4</v>
      </c>
      <c r="N858" t="str" cm="1">
        <f t="array" ref="N858">_xlfn.IFS(_xlfn.SINGLE(calls[Duration])&lt;30,"UNDER 30 MINS",_xlfn.SINGLE(calls[Duration])&lt;60,"30 T0 60 MINS",_xlfn.SINGLE(calls[Duration])&lt;120,"1 TO 2 HRS",TRUE,"ABOVE 2 HRS")</f>
        <v>1 TO 2 HRS</v>
      </c>
    </row>
    <row r="859" spans="1:14" x14ac:dyDescent="0.3">
      <c r="A859" t="s">
        <v>893</v>
      </c>
      <c r="B859" t="s">
        <v>28</v>
      </c>
      <c r="C859">
        <v>60</v>
      </c>
      <c r="D859" t="s">
        <v>13</v>
      </c>
      <c r="E859" s="1">
        <v>45220</v>
      </c>
      <c r="F859">
        <v>135</v>
      </c>
      <c r="G859">
        <v>3.9</v>
      </c>
      <c r="H859" t="str">
        <f>TEXT(calls[[#This Row],[Date of Call]],"DDDD")</f>
        <v>Saturday</v>
      </c>
      <c r="I859">
        <f>ROUND(calls[[#This Row],[Satisfaction Rating]],0)</f>
        <v>4</v>
      </c>
      <c r="N859" t="str" cm="1">
        <f t="array" ref="N859">_xlfn.IFS(_xlfn.SINGLE(calls[Duration])&lt;30,"UNDER 30 MINS",_xlfn.SINGLE(calls[Duration])&lt;60,"30 T0 60 MINS",_xlfn.SINGLE(calls[Duration])&lt;120,"1 TO 2 HRS",TRUE,"ABOVE 2 HRS")</f>
        <v>1 TO 2 HRS</v>
      </c>
    </row>
    <row r="860" spans="1:14" x14ac:dyDescent="0.3">
      <c r="A860" t="s">
        <v>894</v>
      </c>
      <c r="B860" t="s">
        <v>28</v>
      </c>
      <c r="C860">
        <v>72</v>
      </c>
      <c r="D860" t="s">
        <v>29</v>
      </c>
      <c r="E860" s="1">
        <v>45220</v>
      </c>
      <c r="F860">
        <v>20</v>
      </c>
      <c r="G860">
        <v>4.8</v>
      </c>
      <c r="H860" t="str">
        <f>TEXT(calls[[#This Row],[Date of Call]],"DDDD")</f>
        <v>Saturday</v>
      </c>
      <c r="I860">
        <f>ROUND(calls[[#This Row],[Satisfaction Rating]],0)</f>
        <v>5</v>
      </c>
      <c r="N860" t="str" cm="1">
        <f t="array" ref="N860">_xlfn.IFS(_xlfn.SINGLE(calls[Duration])&lt;30,"UNDER 30 MINS",_xlfn.SINGLE(calls[Duration])&lt;60,"30 T0 60 MINS",_xlfn.SINGLE(calls[Duration])&lt;120,"1 TO 2 HRS",TRUE,"ABOVE 2 HRS")</f>
        <v>1 TO 2 HRS</v>
      </c>
    </row>
    <row r="861" spans="1:14" x14ac:dyDescent="0.3">
      <c r="A861" t="s">
        <v>895</v>
      </c>
      <c r="B861" t="s">
        <v>46</v>
      </c>
      <c r="C861">
        <v>40</v>
      </c>
      <c r="D861" t="s">
        <v>29</v>
      </c>
      <c r="E861" s="1">
        <v>45220</v>
      </c>
      <c r="F861">
        <v>31</v>
      </c>
      <c r="G861">
        <v>4</v>
      </c>
      <c r="H861" t="str">
        <f>TEXT(calls[[#This Row],[Date of Call]],"DDDD")</f>
        <v>Saturday</v>
      </c>
      <c r="I861">
        <f>ROUND(calls[[#This Row],[Satisfaction Rating]],0)</f>
        <v>4</v>
      </c>
      <c r="N861" t="str" cm="1">
        <f t="array" ref="N861">_xlfn.IFS(_xlfn.SINGLE(calls[Duration])&lt;30,"UNDER 30 MINS",_xlfn.SINGLE(calls[Duration])&lt;60,"30 T0 60 MINS",_xlfn.SINGLE(calls[Duration])&lt;120,"1 TO 2 HRS",TRUE,"ABOVE 2 HRS")</f>
        <v>30 T0 60 MINS</v>
      </c>
    </row>
    <row r="862" spans="1:14" x14ac:dyDescent="0.3">
      <c r="A862" t="s">
        <v>896</v>
      </c>
      <c r="B862" t="s">
        <v>37</v>
      </c>
      <c r="C862">
        <v>54</v>
      </c>
      <c r="D862" t="s">
        <v>36</v>
      </c>
      <c r="E862" s="1">
        <v>45221</v>
      </c>
      <c r="F862">
        <v>120</v>
      </c>
      <c r="G862">
        <v>4.7</v>
      </c>
      <c r="H862" t="str">
        <f>TEXT(calls[[#This Row],[Date of Call]],"DDDD")</f>
        <v>Sunday</v>
      </c>
      <c r="I862">
        <f>ROUND(calls[[#This Row],[Satisfaction Rating]],0)</f>
        <v>5</v>
      </c>
      <c r="N862" t="str" cm="1">
        <f t="array" ref="N862">_xlfn.IFS(_xlfn.SINGLE(calls[Duration])&lt;30,"UNDER 30 MINS",_xlfn.SINGLE(calls[Duration])&lt;60,"30 T0 60 MINS",_xlfn.SINGLE(calls[Duration])&lt;120,"1 TO 2 HRS",TRUE,"ABOVE 2 HRS")</f>
        <v>30 T0 60 MINS</v>
      </c>
    </row>
    <row r="863" spans="1:14" x14ac:dyDescent="0.3">
      <c r="A863" t="s">
        <v>897</v>
      </c>
      <c r="B863" t="s">
        <v>18</v>
      </c>
      <c r="C863">
        <v>81</v>
      </c>
      <c r="D863" t="s">
        <v>23</v>
      </c>
      <c r="E863" s="1">
        <v>45221</v>
      </c>
      <c r="F863">
        <v>117</v>
      </c>
      <c r="G863">
        <v>3.6</v>
      </c>
      <c r="H863" t="str">
        <f>TEXT(calls[[#This Row],[Date of Call]],"DDDD")</f>
        <v>Sunday</v>
      </c>
      <c r="I863">
        <f>ROUND(calls[[#This Row],[Satisfaction Rating]],0)</f>
        <v>4</v>
      </c>
      <c r="N863" t="str" cm="1">
        <f t="array" ref="N863">_xlfn.IFS(_xlfn.SINGLE(calls[Duration])&lt;30,"UNDER 30 MINS",_xlfn.SINGLE(calls[Duration])&lt;60,"30 T0 60 MINS",_xlfn.SINGLE(calls[Duration])&lt;120,"1 TO 2 HRS",TRUE,"ABOVE 2 HRS")</f>
        <v>1 TO 2 HRS</v>
      </c>
    </row>
    <row r="864" spans="1:14" x14ac:dyDescent="0.3">
      <c r="A864" t="s">
        <v>898</v>
      </c>
      <c r="B864" t="s">
        <v>37</v>
      </c>
      <c r="C864">
        <v>76</v>
      </c>
      <c r="D864" t="s">
        <v>42</v>
      </c>
      <c r="E864" s="1">
        <v>45221</v>
      </c>
      <c r="F864">
        <v>80</v>
      </c>
      <c r="G864">
        <v>4.5</v>
      </c>
      <c r="H864" t="str">
        <f>TEXT(calls[[#This Row],[Date of Call]],"DDDD")</f>
        <v>Sunday</v>
      </c>
      <c r="I864">
        <f>ROUND(calls[[#This Row],[Satisfaction Rating]],0)</f>
        <v>5</v>
      </c>
      <c r="N864" t="str" cm="1">
        <f t="array" ref="N864">_xlfn.IFS(_xlfn.SINGLE(calls[Duration])&lt;30,"UNDER 30 MINS",_xlfn.SINGLE(calls[Duration])&lt;60,"30 T0 60 MINS",_xlfn.SINGLE(calls[Duration])&lt;120,"1 TO 2 HRS",TRUE,"ABOVE 2 HRS")</f>
        <v>1 TO 2 HRS</v>
      </c>
    </row>
    <row r="865" spans="1:14" x14ac:dyDescent="0.3">
      <c r="A865" t="s">
        <v>899</v>
      </c>
      <c r="B865" t="s">
        <v>37</v>
      </c>
      <c r="C865">
        <v>37</v>
      </c>
      <c r="D865" t="s">
        <v>13</v>
      </c>
      <c r="E865" s="1">
        <v>45222</v>
      </c>
      <c r="F865">
        <v>117</v>
      </c>
      <c r="G865">
        <v>4</v>
      </c>
      <c r="H865" t="str">
        <f>TEXT(calls[[#This Row],[Date of Call]],"DDDD")</f>
        <v>Monday</v>
      </c>
      <c r="I865">
        <f>ROUND(calls[[#This Row],[Satisfaction Rating]],0)</f>
        <v>4</v>
      </c>
      <c r="N865" t="str" cm="1">
        <f t="array" ref="N865">_xlfn.IFS(_xlfn.SINGLE(calls[Duration])&lt;30,"UNDER 30 MINS",_xlfn.SINGLE(calls[Duration])&lt;60,"30 T0 60 MINS",_xlfn.SINGLE(calls[Duration])&lt;120,"1 TO 2 HRS",TRUE,"ABOVE 2 HRS")</f>
        <v>30 T0 60 MINS</v>
      </c>
    </row>
    <row r="866" spans="1:14" x14ac:dyDescent="0.3">
      <c r="A866" t="s">
        <v>900</v>
      </c>
      <c r="B866" t="s">
        <v>19</v>
      </c>
      <c r="C866">
        <v>96</v>
      </c>
      <c r="D866" t="s">
        <v>36</v>
      </c>
      <c r="E866" s="1">
        <v>45222</v>
      </c>
      <c r="F866">
        <v>60</v>
      </c>
      <c r="G866">
        <v>4.5</v>
      </c>
      <c r="H866" t="str">
        <f>TEXT(calls[[#This Row],[Date of Call]],"DDDD")</f>
        <v>Monday</v>
      </c>
      <c r="I866">
        <f>ROUND(calls[[#This Row],[Satisfaction Rating]],0)</f>
        <v>5</v>
      </c>
      <c r="N866" t="str" cm="1">
        <f t="array" ref="N866">_xlfn.IFS(_xlfn.SINGLE(calls[Duration])&lt;30,"UNDER 30 MINS",_xlfn.SINGLE(calls[Duration])&lt;60,"30 T0 60 MINS",_xlfn.SINGLE(calls[Duration])&lt;120,"1 TO 2 HRS",TRUE,"ABOVE 2 HRS")</f>
        <v>1 TO 2 HRS</v>
      </c>
    </row>
    <row r="867" spans="1:14" x14ac:dyDescent="0.3">
      <c r="A867" t="s">
        <v>901</v>
      </c>
      <c r="B867" t="s">
        <v>28</v>
      </c>
      <c r="C867">
        <v>19</v>
      </c>
      <c r="D867" t="s">
        <v>42</v>
      </c>
      <c r="E867" s="1">
        <v>45223</v>
      </c>
      <c r="F867">
        <v>58</v>
      </c>
      <c r="G867">
        <v>3.9</v>
      </c>
      <c r="H867" t="str">
        <f>TEXT(calls[[#This Row],[Date of Call]],"DDDD")</f>
        <v>Tuesday</v>
      </c>
      <c r="I867">
        <f>ROUND(calls[[#This Row],[Satisfaction Rating]],0)</f>
        <v>4</v>
      </c>
      <c r="N867" t="str" cm="1">
        <f t="array" ref="N867">_xlfn.IFS(_xlfn.SINGLE(calls[Duration])&lt;30,"UNDER 30 MINS",_xlfn.SINGLE(calls[Duration])&lt;60,"30 T0 60 MINS",_xlfn.SINGLE(calls[Duration])&lt;120,"1 TO 2 HRS",TRUE,"ABOVE 2 HRS")</f>
        <v>UNDER 30 MINS</v>
      </c>
    </row>
    <row r="868" spans="1:14" x14ac:dyDescent="0.3">
      <c r="A868" t="s">
        <v>902</v>
      </c>
      <c r="B868" t="s">
        <v>46</v>
      </c>
      <c r="C868">
        <v>72</v>
      </c>
      <c r="D868" t="s">
        <v>13</v>
      </c>
      <c r="E868" s="1">
        <v>45223</v>
      </c>
      <c r="F868">
        <v>41</v>
      </c>
      <c r="G868">
        <v>4.3</v>
      </c>
      <c r="H868" t="str">
        <f>TEXT(calls[[#This Row],[Date of Call]],"DDDD")</f>
        <v>Tuesday</v>
      </c>
      <c r="I868">
        <f>ROUND(calls[[#This Row],[Satisfaction Rating]],0)</f>
        <v>4</v>
      </c>
      <c r="N868" t="str" cm="1">
        <f t="array" ref="N868">_xlfn.IFS(_xlfn.SINGLE(calls[Duration])&lt;30,"UNDER 30 MINS",_xlfn.SINGLE(calls[Duration])&lt;60,"30 T0 60 MINS",_xlfn.SINGLE(calls[Duration])&lt;120,"1 TO 2 HRS",TRUE,"ABOVE 2 HRS")</f>
        <v>1 TO 2 HRS</v>
      </c>
    </row>
    <row r="869" spans="1:14" x14ac:dyDescent="0.3">
      <c r="A869" t="s">
        <v>903</v>
      </c>
      <c r="B869" t="s">
        <v>26</v>
      </c>
      <c r="C869">
        <v>73</v>
      </c>
      <c r="D869" t="s">
        <v>23</v>
      </c>
      <c r="E869" s="1">
        <v>45223</v>
      </c>
      <c r="F869">
        <v>180</v>
      </c>
      <c r="G869">
        <v>3.6</v>
      </c>
      <c r="H869" t="str">
        <f>TEXT(calls[[#This Row],[Date of Call]],"DDDD")</f>
        <v>Tuesday</v>
      </c>
      <c r="I869">
        <f>ROUND(calls[[#This Row],[Satisfaction Rating]],0)</f>
        <v>4</v>
      </c>
      <c r="N869" t="str" cm="1">
        <f t="array" ref="N869">_xlfn.IFS(_xlfn.SINGLE(calls[Duration])&lt;30,"UNDER 30 MINS",_xlfn.SINGLE(calls[Duration])&lt;60,"30 T0 60 MINS",_xlfn.SINGLE(calls[Duration])&lt;120,"1 TO 2 HRS",TRUE,"ABOVE 2 HRS")</f>
        <v>1 TO 2 HRS</v>
      </c>
    </row>
    <row r="870" spans="1:14" x14ac:dyDescent="0.3">
      <c r="A870" t="s">
        <v>904</v>
      </c>
      <c r="B870" t="s">
        <v>14</v>
      </c>
      <c r="C870">
        <v>87</v>
      </c>
      <c r="D870" t="s">
        <v>23</v>
      </c>
      <c r="E870" s="1">
        <v>45223</v>
      </c>
      <c r="F870">
        <v>42</v>
      </c>
      <c r="G870">
        <v>3.6</v>
      </c>
      <c r="H870" t="str">
        <f>TEXT(calls[[#This Row],[Date of Call]],"DDDD")</f>
        <v>Tuesday</v>
      </c>
      <c r="I870">
        <f>ROUND(calls[[#This Row],[Satisfaction Rating]],0)</f>
        <v>4</v>
      </c>
      <c r="N870" t="str" cm="1">
        <f t="array" ref="N870">_xlfn.IFS(_xlfn.SINGLE(calls[Duration])&lt;30,"UNDER 30 MINS",_xlfn.SINGLE(calls[Duration])&lt;60,"30 T0 60 MINS",_xlfn.SINGLE(calls[Duration])&lt;120,"1 TO 2 HRS",TRUE,"ABOVE 2 HRS")</f>
        <v>1 TO 2 HRS</v>
      </c>
    </row>
    <row r="871" spans="1:14" x14ac:dyDescent="0.3">
      <c r="A871" t="s">
        <v>905</v>
      </c>
      <c r="B871" t="s">
        <v>14</v>
      </c>
      <c r="C871">
        <v>68</v>
      </c>
      <c r="D871" t="s">
        <v>23</v>
      </c>
      <c r="E871" s="1">
        <v>45224</v>
      </c>
      <c r="F871">
        <v>24</v>
      </c>
      <c r="G871">
        <v>4</v>
      </c>
      <c r="H871" t="str">
        <f>TEXT(calls[[#This Row],[Date of Call]],"DDDD")</f>
        <v>Wednesday</v>
      </c>
      <c r="I871">
        <f>ROUND(calls[[#This Row],[Satisfaction Rating]],0)</f>
        <v>4</v>
      </c>
      <c r="N871" t="str" cm="1">
        <f t="array" ref="N871">_xlfn.IFS(_xlfn.SINGLE(calls[Duration])&lt;30,"UNDER 30 MINS",_xlfn.SINGLE(calls[Duration])&lt;60,"30 T0 60 MINS",_xlfn.SINGLE(calls[Duration])&lt;120,"1 TO 2 HRS",TRUE,"ABOVE 2 HRS")</f>
        <v>1 TO 2 HRS</v>
      </c>
    </row>
    <row r="872" spans="1:14" x14ac:dyDescent="0.3">
      <c r="A872" t="s">
        <v>906</v>
      </c>
      <c r="B872" t="s">
        <v>46</v>
      </c>
      <c r="C872">
        <v>101</v>
      </c>
      <c r="D872" t="s">
        <v>23</v>
      </c>
      <c r="E872" s="1">
        <v>45224</v>
      </c>
      <c r="F872">
        <v>125</v>
      </c>
      <c r="G872">
        <v>4.2</v>
      </c>
      <c r="H872" t="str">
        <f>TEXT(calls[[#This Row],[Date of Call]],"DDDD")</f>
        <v>Wednesday</v>
      </c>
      <c r="I872">
        <f>ROUND(calls[[#This Row],[Satisfaction Rating]],0)</f>
        <v>4</v>
      </c>
      <c r="N872" t="str" cm="1">
        <f t="array" ref="N872">_xlfn.IFS(_xlfn.SINGLE(calls[Duration])&lt;30,"UNDER 30 MINS",_xlfn.SINGLE(calls[Duration])&lt;60,"30 T0 60 MINS",_xlfn.SINGLE(calls[Duration])&lt;120,"1 TO 2 HRS",TRUE,"ABOVE 2 HRS")</f>
        <v>1 TO 2 HRS</v>
      </c>
    </row>
    <row r="873" spans="1:14" x14ac:dyDescent="0.3">
      <c r="A873" t="s">
        <v>907</v>
      </c>
      <c r="B873" t="s">
        <v>46</v>
      </c>
      <c r="C873">
        <v>107</v>
      </c>
      <c r="D873" t="s">
        <v>13</v>
      </c>
      <c r="E873" s="1">
        <v>45225</v>
      </c>
      <c r="F873">
        <v>78</v>
      </c>
      <c r="G873">
        <v>4.3</v>
      </c>
      <c r="H873" t="str">
        <f>TEXT(calls[[#This Row],[Date of Call]],"DDDD")</f>
        <v>Thursday</v>
      </c>
      <c r="I873">
        <f>ROUND(calls[[#This Row],[Satisfaction Rating]],0)</f>
        <v>4</v>
      </c>
      <c r="N873" t="str" cm="1">
        <f t="array" ref="N873">_xlfn.IFS(_xlfn.SINGLE(calls[Duration])&lt;30,"UNDER 30 MINS",_xlfn.SINGLE(calls[Duration])&lt;60,"30 T0 60 MINS",_xlfn.SINGLE(calls[Duration])&lt;120,"1 TO 2 HRS",TRUE,"ABOVE 2 HRS")</f>
        <v>1 TO 2 HRS</v>
      </c>
    </row>
    <row r="874" spans="1:14" x14ac:dyDescent="0.3">
      <c r="A874" t="s">
        <v>908</v>
      </c>
      <c r="B874" t="s">
        <v>39</v>
      </c>
      <c r="C874">
        <v>109</v>
      </c>
      <c r="D874" t="s">
        <v>29</v>
      </c>
      <c r="E874" s="1">
        <v>45225</v>
      </c>
      <c r="F874">
        <v>180</v>
      </c>
      <c r="G874">
        <v>3.8</v>
      </c>
      <c r="H874" t="str">
        <f>TEXT(calls[[#This Row],[Date of Call]],"DDDD")</f>
        <v>Thursday</v>
      </c>
      <c r="I874">
        <f>ROUND(calls[[#This Row],[Satisfaction Rating]],0)</f>
        <v>4</v>
      </c>
      <c r="N874" t="str" cm="1">
        <f t="array" ref="N874">_xlfn.IFS(_xlfn.SINGLE(calls[Duration])&lt;30,"UNDER 30 MINS",_xlfn.SINGLE(calls[Duration])&lt;60,"30 T0 60 MINS",_xlfn.SINGLE(calls[Duration])&lt;120,"1 TO 2 HRS",TRUE,"ABOVE 2 HRS")</f>
        <v>1 TO 2 HRS</v>
      </c>
    </row>
    <row r="875" spans="1:14" x14ac:dyDescent="0.3">
      <c r="A875" t="s">
        <v>909</v>
      </c>
      <c r="B875" t="s">
        <v>45</v>
      </c>
      <c r="C875">
        <v>171</v>
      </c>
      <c r="D875" t="s">
        <v>13</v>
      </c>
      <c r="E875" s="1">
        <v>45225</v>
      </c>
      <c r="F875">
        <v>84</v>
      </c>
      <c r="G875">
        <v>4.4000000000000004</v>
      </c>
      <c r="H875" t="str">
        <f>TEXT(calls[[#This Row],[Date of Call]],"DDDD")</f>
        <v>Thursday</v>
      </c>
      <c r="I875">
        <f>ROUND(calls[[#This Row],[Satisfaction Rating]],0)</f>
        <v>4</v>
      </c>
      <c r="N875" t="str" cm="1">
        <f t="array" ref="N875">_xlfn.IFS(_xlfn.SINGLE(calls[Duration])&lt;30,"UNDER 30 MINS",_xlfn.SINGLE(calls[Duration])&lt;60,"30 T0 60 MINS",_xlfn.SINGLE(calls[Duration])&lt;120,"1 TO 2 HRS",TRUE,"ABOVE 2 HRS")</f>
        <v>ABOVE 2 HRS</v>
      </c>
    </row>
    <row r="876" spans="1:14" x14ac:dyDescent="0.3">
      <c r="A876" t="s">
        <v>910</v>
      </c>
      <c r="B876" t="s">
        <v>28</v>
      </c>
      <c r="C876">
        <v>21</v>
      </c>
      <c r="D876" t="s">
        <v>13</v>
      </c>
      <c r="E876" s="1">
        <v>45225</v>
      </c>
      <c r="F876">
        <v>26</v>
      </c>
      <c r="G876">
        <v>4.7</v>
      </c>
      <c r="H876" t="str">
        <f>TEXT(calls[[#This Row],[Date of Call]],"DDDD")</f>
        <v>Thursday</v>
      </c>
      <c r="I876">
        <f>ROUND(calls[[#This Row],[Satisfaction Rating]],0)</f>
        <v>5</v>
      </c>
      <c r="N876" t="str" cm="1">
        <f t="array" ref="N876">_xlfn.IFS(_xlfn.SINGLE(calls[Duration])&lt;30,"UNDER 30 MINS",_xlfn.SINGLE(calls[Duration])&lt;60,"30 T0 60 MINS",_xlfn.SINGLE(calls[Duration])&lt;120,"1 TO 2 HRS",TRUE,"ABOVE 2 HRS")</f>
        <v>UNDER 30 MINS</v>
      </c>
    </row>
    <row r="877" spans="1:14" x14ac:dyDescent="0.3">
      <c r="A877" t="s">
        <v>911</v>
      </c>
      <c r="B877" t="s">
        <v>18</v>
      </c>
      <c r="C877">
        <v>94</v>
      </c>
      <c r="D877" t="s">
        <v>13</v>
      </c>
      <c r="E877" s="1">
        <v>45226</v>
      </c>
      <c r="F877">
        <v>140</v>
      </c>
      <c r="G877">
        <v>3.6</v>
      </c>
      <c r="H877" t="str">
        <f>TEXT(calls[[#This Row],[Date of Call]],"DDDD")</f>
        <v>Friday</v>
      </c>
      <c r="I877">
        <f>ROUND(calls[[#This Row],[Satisfaction Rating]],0)</f>
        <v>4</v>
      </c>
      <c r="N877" t="str" cm="1">
        <f t="array" ref="N877">_xlfn.IFS(_xlfn.SINGLE(calls[Duration])&lt;30,"UNDER 30 MINS",_xlfn.SINGLE(calls[Duration])&lt;60,"30 T0 60 MINS",_xlfn.SINGLE(calls[Duration])&lt;120,"1 TO 2 HRS",TRUE,"ABOVE 2 HRS")</f>
        <v>1 TO 2 HRS</v>
      </c>
    </row>
    <row r="878" spans="1:14" x14ac:dyDescent="0.3">
      <c r="A878" t="s">
        <v>912</v>
      </c>
      <c r="B878" t="s">
        <v>26</v>
      </c>
      <c r="C878">
        <v>97</v>
      </c>
      <c r="D878" t="s">
        <v>29</v>
      </c>
      <c r="E878" s="1">
        <v>45226</v>
      </c>
      <c r="F878">
        <v>31</v>
      </c>
      <c r="G878">
        <v>2.2000000000000002</v>
      </c>
      <c r="H878" t="str">
        <f>TEXT(calls[[#This Row],[Date of Call]],"DDDD")</f>
        <v>Friday</v>
      </c>
      <c r="I878">
        <f>ROUND(calls[[#This Row],[Satisfaction Rating]],0)</f>
        <v>2</v>
      </c>
      <c r="N878" t="str" cm="1">
        <f t="array" ref="N878">_xlfn.IFS(_xlfn.SINGLE(calls[Duration])&lt;30,"UNDER 30 MINS",_xlfn.SINGLE(calls[Duration])&lt;60,"30 T0 60 MINS",_xlfn.SINGLE(calls[Duration])&lt;120,"1 TO 2 HRS",TRUE,"ABOVE 2 HRS")</f>
        <v>1 TO 2 HRS</v>
      </c>
    </row>
    <row r="879" spans="1:14" x14ac:dyDescent="0.3">
      <c r="A879" t="s">
        <v>913</v>
      </c>
      <c r="B879" t="s">
        <v>19</v>
      </c>
      <c r="C879">
        <v>72</v>
      </c>
      <c r="D879" t="s">
        <v>29</v>
      </c>
      <c r="E879" s="1">
        <v>45226</v>
      </c>
      <c r="F879">
        <v>108</v>
      </c>
      <c r="G879">
        <v>4.8</v>
      </c>
      <c r="H879" t="str">
        <f>TEXT(calls[[#This Row],[Date of Call]],"DDDD")</f>
        <v>Friday</v>
      </c>
      <c r="I879">
        <f>ROUND(calls[[#This Row],[Satisfaction Rating]],0)</f>
        <v>5</v>
      </c>
      <c r="N879" t="str" cm="1">
        <f t="array" ref="N879">_xlfn.IFS(_xlfn.SINGLE(calls[Duration])&lt;30,"UNDER 30 MINS",_xlfn.SINGLE(calls[Duration])&lt;60,"30 T0 60 MINS",_xlfn.SINGLE(calls[Duration])&lt;120,"1 TO 2 HRS",TRUE,"ABOVE 2 HRS")</f>
        <v>1 TO 2 HRS</v>
      </c>
    </row>
    <row r="880" spans="1:14" x14ac:dyDescent="0.3">
      <c r="A880" t="s">
        <v>914</v>
      </c>
      <c r="B880" t="s">
        <v>45</v>
      </c>
      <c r="C880">
        <v>143</v>
      </c>
      <c r="D880" t="s">
        <v>36</v>
      </c>
      <c r="E880" s="1">
        <v>45227</v>
      </c>
      <c r="F880">
        <v>58</v>
      </c>
      <c r="G880">
        <v>4.3</v>
      </c>
      <c r="H880" t="str">
        <f>TEXT(calls[[#This Row],[Date of Call]],"DDDD")</f>
        <v>Saturday</v>
      </c>
      <c r="I880">
        <f>ROUND(calls[[#This Row],[Satisfaction Rating]],0)</f>
        <v>4</v>
      </c>
      <c r="N880" t="str" cm="1">
        <f t="array" ref="N880">_xlfn.IFS(_xlfn.SINGLE(calls[Duration])&lt;30,"UNDER 30 MINS",_xlfn.SINGLE(calls[Duration])&lt;60,"30 T0 60 MINS",_xlfn.SINGLE(calls[Duration])&lt;120,"1 TO 2 HRS",TRUE,"ABOVE 2 HRS")</f>
        <v>ABOVE 2 HRS</v>
      </c>
    </row>
    <row r="881" spans="1:14" x14ac:dyDescent="0.3">
      <c r="A881" t="s">
        <v>915</v>
      </c>
      <c r="B881" t="s">
        <v>45</v>
      </c>
      <c r="C881">
        <v>64</v>
      </c>
      <c r="D881" t="s">
        <v>29</v>
      </c>
      <c r="E881" s="1">
        <v>45227</v>
      </c>
      <c r="F881">
        <v>185</v>
      </c>
      <c r="G881">
        <v>2.2000000000000002</v>
      </c>
      <c r="H881" t="str">
        <f>TEXT(calls[[#This Row],[Date of Call]],"DDDD")</f>
        <v>Saturday</v>
      </c>
      <c r="I881">
        <f>ROUND(calls[[#This Row],[Satisfaction Rating]],0)</f>
        <v>2</v>
      </c>
      <c r="N881" t="str" cm="1">
        <f t="array" ref="N881">_xlfn.IFS(_xlfn.SINGLE(calls[Duration])&lt;30,"UNDER 30 MINS",_xlfn.SINGLE(calls[Duration])&lt;60,"30 T0 60 MINS",_xlfn.SINGLE(calls[Duration])&lt;120,"1 TO 2 HRS",TRUE,"ABOVE 2 HRS")</f>
        <v>1 TO 2 HRS</v>
      </c>
    </row>
    <row r="882" spans="1:14" x14ac:dyDescent="0.3">
      <c r="A882" t="s">
        <v>916</v>
      </c>
      <c r="B882" t="s">
        <v>45</v>
      </c>
      <c r="C882">
        <v>69</v>
      </c>
      <c r="D882" t="s">
        <v>29</v>
      </c>
      <c r="E882" s="1">
        <v>45227</v>
      </c>
      <c r="F882">
        <v>40</v>
      </c>
      <c r="G882">
        <v>4.8</v>
      </c>
      <c r="H882" t="str">
        <f>TEXT(calls[[#This Row],[Date of Call]],"DDDD")</f>
        <v>Saturday</v>
      </c>
      <c r="I882">
        <f>ROUND(calls[[#This Row],[Satisfaction Rating]],0)</f>
        <v>5</v>
      </c>
      <c r="N882" t="str" cm="1">
        <f t="array" ref="N882">_xlfn.IFS(_xlfn.SINGLE(calls[Duration])&lt;30,"UNDER 30 MINS",_xlfn.SINGLE(calls[Duration])&lt;60,"30 T0 60 MINS",_xlfn.SINGLE(calls[Duration])&lt;120,"1 TO 2 HRS",TRUE,"ABOVE 2 HRS")</f>
        <v>1 TO 2 HRS</v>
      </c>
    </row>
    <row r="883" spans="1:14" x14ac:dyDescent="0.3">
      <c r="A883" t="s">
        <v>917</v>
      </c>
      <c r="B883" t="s">
        <v>45</v>
      </c>
      <c r="C883">
        <v>18</v>
      </c>
      <c r="D883" t="s">
        <v>42</v>
      </c>
      <c r="E883" s="1">
        <v>45227</v>
      </c>
      <c r="F883">
        <v>225</v>
      </c>
      <c r="G883">
        <v>2.6</v>
      </c>
      <c r="H883" t="str">
        <f>TEXT(calls[[#This Row],[Date of Call]],"DDDD")</f>
        <v>Saturday</v>
      </c>
      <c r="I883">
        <f>ROUND(calls[[#This Row],[Satisfaction Rating]],0)</f>
        <v>3</v>
      </c>
      <c r="N883" t="str" cm="1">
        <f t="array" ref="N883">_xlfn.IFS(_xlfn.SINGLE(calls[Duration])&lt;30,"UNDER 30 MINS",_xlfn.SINGLE(calls[Duration])&lt;60,"30 T0 60 MINS",_xlfn.SINGLE(calls[Duration])&lt;120,"1 TO 2 HRS",TRUE,"ABOVE 2 HRS")</f>
        <v>UNDER 30 MINS</v>
      </c>
    </row>
    <row r="884" spans="1:14" x14ac:dyDescent="0.3">
      <c r="A884" t="s">
        <v>918</v>
      </c>
      <c r="B884" t="s">
        <v>26</v>
      </c>
      <c r="C884">
        <v>100</v>
      </c>
      <c r="D884" t="s">
        <v>36</v>
      </c>
      <c r="E884" s="1">
        <v>45227</v>
      </c>
      <c r="F884">
        <v>150</v>
      </c>
      <c r="G884">
        <v>2.6</v>
      </c>
      <c r="H884" t="str">
        <f>TEXT(calls[[#This Row],[Date of Call]],"DDDD")</f>
        <v>Saturday</v>
      </c>
      <c r="I884">
        <f>ROUND(calls[[#This Row],[Satisfaction Rating]],0)</f>
        <v>3</v>
      </c>
      <c r="N884" t="str" cm="1">
        <f t="array" ref="N884">_xlfn.IFS(_xlfn.SINGLE(calls[Duration])&lt;30,"UNDER 30 MINS",_xlfn.SINGLE(calls[Duration])&lt;60,"30 T0 60 MINS",_xlfn.SINGLE(calls[Duration])&lt;120,"1 TO 2 HRS",TRUE,"ABOVE 2 HRS")</f>
        <v>1 TO 2 HRS</v>
      </c>
    </row>
    <row r="885" spans="1:14" x14ac:dyDescent="0.3">
      <c r="A885" t="s">
        <v>919</v>
      </c>
      <c r="B885" t="s">
        <v>41</v>
      </c>
      <c r="C885">
        <v>110</v>
      </c>
      <c r="D885" t="s">
        <v>23</v>
      </c>
      <c r="E885" s="1">
        <v>45228</v>
      </c>
      <c r="F885">
        <v>88</v>
      </c>
      <c r="G885">
        <v>3.4</v>
      </c>
      <c r="H885" t="str">
        <f>TEXT(calls[[#This Row],[Date of Call]],"DDDD")</f>
        <v>Sunday</v>
      </c>
      <c r="I885">
        <f>ROUND(calls[[#This Row],[Satisfaction Rating]],0)</f>
        <v>3</v>
      </c>
      <c r="N885" t="str" cm="1">
        <f t="array" ref="N885">_xlfn.IFS(_xlfn.SINGLE(calls[Duration])&lt;30,"UNDER 30 MINS",_xlfn.SINGLE(calls[Duration])&lt;60,"30 T0 60 MINS",_xlfn.SINGLE(calls[Duration])&lt;120,"1 TO 2 HRS",TRUE,"ABOVE 2 HRS")</f>
        <v>1 TO 2 HRS</v>
      </c>
    </row>
    <row r="886" spans="1:14" x14ac:dyDescent="0.3">
      <c r="A886" t="s">
        <v>920</v>
      </c>
      <c r="B886" t="s">
        <v>31</v>
      </c>
      <c r="C886">
        <v>41</v>
      </c>
      <c r="D886" t="s">
        <v>13</v>
      </c>
      <c r="E886" s="1">
        <v>45228</v>
      </c>
      <c r="F886">
        <v>140</v>
      </c>
      <c r="G886">
        <v>3.7</v>
      </c>
      <c r="H886" t="str">
        <f>TEXT(calls[[#This Row],[Date of Call]],"DDDD")</f>
        <v>Sunday</v>
      </c>
      <c r="I886">
        <f>ROUND(calls[[#This Row],[Satisfaction Rating]],0)</f>
        <v>4</v>
      </c>
      <c r="N886" t="str" cm="1">
        <f t="array" ref="N886">_xlfn.IFS(_xlfn.SINGLE(calls[Duration])&lt;30,"UNDER 30 MINS",_xlfn.SINGLE(calls[Duration])&lt;60,"30 T0 60 MINS",_xlfn.SINGLE(calls[Duration])&lt;120,"1 TO 2 HRS",TRUE,"ABOVE 2 HRS")</f>
        <v>30 T0 60 MINS</v>
      </c>
    </row>
    <row r="887" spans="1:14" x14ac:dyDescent="0.3">
      <c r="A887" t="s">
        <v>921</v>
      </c>
      <c r="B887" t="s">
        <v>41</v>
      </c>
      <c r="C887">
        <v>147</v>
      </c>
      <c r="D887" t="s">
        <v>23</v>
      </c>
      <c r="E887" s="1">
        <v>45228</v>
      </c>
      <c r="F887">
        <v>68</v>
      </c>
      <c r="G887">
        <v>2.1</v>
      </c>
      <c r="H887" t="str">
        <f>TEXT(calls[[#This Row],[Date of Call]],"DDDD")</f>
        <v>Sunday</v>
      </c>
      <c r="I887">
        <f>ROUND(calls[[#This Row],[Satisfaction Rating]],0)</f>
        <v>2</v>
      </c>
      <c r="N887" t="str" cm="1">
        <f t="array" ref="N887">_xlfn.IFS(_xlfn.SINGLE(calls[Duration])&lt;30,"UNDER 30 MINS",_xlfn.SINGLE(calls[Duration])&lt;60,"30 T0 60 MINS",_xlfn.SINGLE(calls[Duration])&lt;120,"1 TO 2 HRS",TRUE,"ABOVE 2 HRS")</f>
        <v>ABOVE 2 HRS</v>
      </c>
    </row>
    <row r="888" spans="1:14" x14ac:dyDescent="0.3">
      <c r="A888" t="s">
        <v>922</v>
      </c>
      <c r="B888" t="s">
        <v>18</v>
      </c>
      <c r="C888">
        <v>31</v>
      </c>
      <c r="D888" t="s">
        <v>42</v>
      </c>
      <c r="E888" s="1">
        <v>45229</v>
      </c>
      <c r="F888">
        <v>105</v>
      </c>
      <c r="G888">
        <v>3.6</v>
      </c>
      <c r="H888" t="str">
        <f>TEXT(calls[[#This Row],[Date of Call]],"DDDD")</f>
        <v>Monday</v>
      </c>
      <c r="I888">
        <f>ROUND(calls[[#This Row],[Satisfaction Rating]],0)</f>
        <v>4</v>
      </c>
      <c r="N888" t="str" cm="1">
        <f t="array" ref="N888">_xlfn.IFS(_xlfn.SINGLE(calls[Duration])&lt;30,"UNDER 30 MINS",_xlfn.SINGLE(calls[Duration])&lt;60,"30 T0 60 MINS",_xlfn.SINGLE(calls[Duration])&lt;120,"1 TO 2 HRS",TRUE,"ABOVE 2 HRS")</f>
        <v>30 T0 60 MINS</v>
      </c>
    </row>
    <row r="889" spans="1:14" x14ac:dyDescent="0.3">
      <c r="A889" t="s">
        <v>923</v>
      </c>
      <c r="B889" t="s">
        <v>14</v>
      </c>
      <c r="C889">
        <v>142</v>
      </c>
      <c r="D889" t="s">
        <v>13</v>
      </c>
      <c r="E889" s="1">
        <v>45229</v>
      </c>
      <c r="F889">
        <v>40</v>
      </c>
      <c r="G889">
        <v>3.8</v>
      </c>
      <c r="H889" t="str">
        <f>TEXT(calls[[#This Row],[Date of Call]],"DDDD")</f>
        <v>Monday</v>
      </c>
      <c r="I889">
        <f>ROUND(calls[[#This Row],[Satisfaction Rating]],0)</f>
        <v>4</v>
      </c>
      <c r="N889" t="str" cm="1">
        <f t="array" ref="N889">_xlfn.IFS(_xlfn.SINGLE(calls[Duration])&lt;30,"UNDER 30 MINS",_xlfn.SINGLE(calls[Duration])&lt;60,"30 T0 60 MINS",_xlfn.SINGLE(calls[Duration])&lt;120,"1 TO 2 HRS",TRUE,"ABOVE 2 HRS")</f>
        <v>ABOVE 2 HRS</v>
      </c>
    </row>
    <row r="890" spans="1:14" x14ac:dyDescent="0.3">
      <c r="A890" t="s">
        <v>924</v>
      </c>
      <c r="B890" t="s">
        <v>39</v>
      </c>
      <c r="C890">
        <v>61</v>
      </c>
      <c r="D890" t="s">
        <v>13</v>
      </c>
      <c r="E890" s="1">
        <v>45229</v>
      </c>
      <c r="F890">
        <v>82</v>
      </c>
      <c r="G890">
        <v>3.1</v>
      </c>
      <c r="H890" t="str">
        <f>TEXT(calls[[#This Row],[Date of Call]],"DDDD")</f>
        <v>Monday</v>
      </c>
      <c r="I890">
        <f>ROUND(calls[[#This Row],[Satisfaction Rating]],0)</f>
        <v>3</v>
      </c>
      <c r="N890" t="str" cm="1">
        <f t="array" ref="N890">_xlfn.IFS(_xlfn.SINGLE(calls[Duration])&lt;30,"UNDER 30 MINS",_xlfn.SINGLE(calls[Duration])&lt;60,"30 T0 60 MINS",_xlfn.SINGLE(calls[Duration])&lt;120,"1 TO 2 HRS",TRUE,"ABOVE 2 HRS")</f>
        <v>1 TO 2 HRS</v>
      </c>
    </row>
    <row r="891" spans="1:14" x14ac:dyDescent="0.3">
      <c r="A891" t="s">
        <v>925</v>
      </c>
      <c r="B891" t="s">
        <v>12</v>
      </c>
      <c r="C891">
        <v>86</v>
      </c>
      <c r="D891" t="s">
        <v>42</v>
      </c>
      <c r="E891" s="1">
        <v>45230</v>
      </c>
      <c r="F891">
        <v>90</v>
      </c>
      <c r="G891">
        <v>4.4000000000000004</v>
      </c>
      <c r="H891" t="str">
        <f>TEXT(calls[[#This Row],[Date of Call]],"DDDD")</f>
        <v>Tuesday</v>
      </c>
      <c r="I891">
        <f>ROUND(calls[[#This Row],[Satisfaction Rating]],0)</f>
        <v>4</v>
      </c>
      <c r="N891" t="str" cm="1">
        <f t="array" ref="N891">_xlfn.IFS(_xlfn.SINGLE(calls[Duration])&lt;30,"UNDER 30 MINS",_xlfn.SINGLE(calls[Duration])&lt;60,"30 T0 60 MINS",_xlfn.SINGLE(calls[Duration])&lt;120,"1 TO 2 HRS",TRUE,"ABOVE 2 HRS")</f>
        <v>1 TO 2 HRS</v>
      </c>
    </row>
    <row r="892" spans="1:14" x14ac:dyDescent="0.3">
      <c r="A892" t="s">
        <v>926</v>
      </c>
      <c r="B892" t="s">
        <v>22</v>
      </c>
      <c r="C892">
        <v>165</v>
      </c>
      <c r="D892" t="s">
        <v>36</v>
      </c>
      <c r="E892" s="1">
        <v>45231</v>
      </c>
      <c r="F892">
        <v>66</v>
      </c>
      <c r="G892">
        <v>4.8</v>
      </c>
      <c r="H892" t="str">
        <f>TEXT(calls[[#This Row],[Date of Call]],"DDDD")</f>
        <v>Wednesday</v>
      </c>
      <c r="I892">
        <f>ROUND(calls[[#This Row],[Satisfaction Rating]],0)</f>
        <v>5</v>
      </c>
      <c r="N892" t="str" cm="1">
        <f t="array" ref="N892">_xlfn.IFS(_xlfn.SINGLE(calls[Duration])&lt;30,"UNDER 30 MINS",_xlfn.SINGLE(calls[Duration])&lt;60,"30 T0 60 MINS",_xlfn.SINGLE(calls[Duration])&lt;120,"1 TO 2 HRS",TRUE,"ABOVE 2 HRS")</f>
        <v>ABOVE 2 HRS</v>
      </c>
    </row>
    <row r="893" spans="1:14" x14ac:dyDescent="0.3">
      <c r="A893" t="s">
        <v>927</v>
      </c>
      <c r="B893" t="s">
        <v>37</v>
      </c>
      <c r="C893">
        <v>62</v>
      </c>
      <c r="D893" t="s">
        <v>23</v>
      </c>
      <c r="E893" s="1">
        <v>45231</v>
      </c>
      <c r="F893">
        <v>78</v>
      </c>
      <c r="G893">
        <v>3.5</v>
      </c>
      <c r="H893" t="str">
        <f>TEXT(calls[[#This Row],[Date of Call]],"DDDD")</f>
        <v>Wednesday</v>
      </c>
      <c r="I893">
        <f>ROUND(calls[[#This Row],[Satisfaction Rating]],0)</f>
        <v>4</v>
      </c>
      <c r="N893" t="str" cm="1">
        <f t="array" ref="N893">_xlfn.IFS(_xlfn.SINGLE(calls[Duration])&lt;30,"UNDER 30 MINS",_xlfn.SINGLE(calls[Duration])&lt;60,"30 T0 60 MINS",_xlfn.SINGLE(calls[Duration])&lt;120,"1 TO 2 HRS",TRUE,"ABOVE 2 HRS")</f>
        <v>1 TO 2 HRS</v>
      </c>
    </row>
    <row r="894" spans="1:14" x14ac:dyDescent="0.3">
      <c r="A894" t="s">
        <v>928</v>
      </c>
      <c r="B894" t="s">
        <v>26</v>
      </c>
      <c r="C894">
        <v>103</v>
      </c>
      <c r="D894" t="s">
        <v>36</v>
      </c>
      <c r="E894" s="1">
        <v>45232</v>
      </c>
      <c r="F894">
        <v>66</v>
      </c>
      <c r="G894">
        <v>4.4000000000000004</v>
      </c>
      <c r="H894" t="str">
        <f>TEXT(calls[[#This Row],[Date of Call]],"DDDD")</f>
        <v>Thursday</v>
      </c>
      <c r="I894">
        <f>ROUND(calls[[#This Row],[Satisfaction Rating]],0)</f>
        <v>4</v>
      </c>
      <c r="N894" t="str" cm="1">
        <f t="array" ref="N894">_xlfn.IFS(_xlfn.SINGLE(calls[Duration])&lt;30,"UNDER 30 MINS",_xlfn.SINGLE(calls[Duration])&lt;60,"30 T0 60 MINS",_xlfn.SINGLE(calls[Duration])&lt;120,"1 TO 2 HRS",TRUE,"ABOVE 2 HRS")</f>
        <v>1 TO 2 HRS</v>
      </c>
    </row>
    <row r="895" spans="1:14" x14ac:dyDescent="0.3">
      <c r="A895" t="s">
        <v>929</v>
      </c>
      <c r="B895" t="s">
        <v>14</v>
      </c>
      <c r="C895">
        <v>56</v>
      </c>
      <c r="D895" t="s">
        <v>42</v>
      </c>
      <c r="E895" s="1">
        <v>45233</v>
      </c>
      <c r="F895">
        <v>160</v>
      </c>
      <c r="G895">
        <v>3.8</v>
      </c>
      <c r="H895" t="str">
        <f>TEXT(calls[[#This Row],[Date of Call]],"DDDD")</f>
        <v>Friday</v>
      </c>
      <c r="I895">
        <f>ROUND(calls[[#This Row],[Satisfaction Rating]],0)</f>
        <v>4</v>
      </c>
      <c r="N895" t="str" cm="1">
        <f t="array" ref="N895">_xlfn.IFS(_xlfn.SINGLE(calls[Duration])&lt;30,"UNDER 30 MINS",_xlfn.SINGLE(calls[Duration])&lt;60,"30 T0 60 MINS",_xlfn.SINGLE(calls[Duration])&lt;120,"1 TO 2 HRS",TRUE,"ABOVE 2 HRS")</f>
        <v>30 T0 60 MINS</v>
      </c>
    </row>
    <row r="896" spans="1:14" x14ac:dyDescent="0.3">
      <c r="A896" t="s">
        <v>930</v>
      </c>
      <c r="B896" t="s">
        <v>46</v>
      </c>
      <c r="C896">
        <v>114</v>
      </c>
      <c r="D896" t="s">
        <v>13</v>
      </c>
      <c r="E896" s="1">
        <v>45234</v>
      </c>
      <c r="F896">
        <v>144</v>
      </c>
      <c r="G896">
        <v>3.8</v>
      </c>
      <c r="H896" t="str">
        <f>TEXT(calls[[#This Row],[Date of Call]],"DDDD")</f>
        <v>Saturday</v>
      </c>
      <c r="I896">
        <f>ROUND(calls[[#This Row],[Satisfaction Rating]],0)</f>
        <v>4</v>
      </c>
      <c r="N896" t="str" cm="1">
        <f t="array" ref="N896">_xlfn.IFS(_xlfn.SINGLE(calls[Duration])&lt;30,"UNDER 30 MINS",_xlfn.SINGLE(calls[Duration])&lt;60,"30 T0 60 MINS",_xlfn.SINGLE(calls[Duration])&lt;120,"1 TO 2 HRS",TRUE,"ABOVE 2 HRS")</f>
        <v>1 TO 2 HRS</v>
      </c>
    </row>
    <row r="897" spans="1:14" x14ac:dyDescent="0.3">
      <c r="A897" t="s">
        <v>931</v>
      </c>
      <c r="B897" t="s">
        <v>14</v>
      </c>
      <c r="C897">
        <v>112</v>
      </c>
      <c r="D897" t="s">
        <v>29</v>
      </c>
      <c r="E897" s="1">
        <v>45234</v>
      </c>
      <c r="F897">
        <v>200</v>
      </c>
      <c r="G897">
        <v>4.5999999999999996</v>
      </c>
      <c r="H897" t="str">
        <f>TEXT(calls[[#This Row],[Date of Call]],"DDDD")</f>
        <v>Saturday</v>
      </c>
      <c r="I897">
        <f>ROUND(calls[[#This Row],[Satisfaction Rating]],0)</f>
        <v>5</v>
      </c>
      <c r="N897" t="str" cm="1">
        <f t="array" ref="N897">_xlfn.IFS(_xlfn.SINGLE(calls[Duration])&lt;30,"UNDER 30 MINS",_xlfn.SINGLE(calls[Duration])&lt;60,"30 T0 60 MINS",_xlfn.SINGLE(calls[Duration])&lt;120,"1 TO 2 HRS",TRUE,"ABOVE 2 HRS")</f>
        <v>1 TO 2 HRS</v>
      </c>
    </row>
    <row r="898" spans="1:14" x14ac:dyDescent="0.3">
      <c r="A898" t="s">
        <v>932</v>
      </c>
      <c r="B898" t="s">
        <v>33</v>
      </c>
      <c r="C898">
        <v>52</v>
      </c>
      <c r="D898" t="s">
        <v>23</v>
      </c>
      <c r="E898" s="1">
        <v>45236</v>
      </c>
      <c r="F898">
        <v>220</v>
      </c>
      <c r="G898">
        <v>5</v>
      </c>
      <c r="H898" t="str">
        <f>TEXT(calls[[#This Row],[Date of Call]],"DDDD")</f>
        <v>Monday</v>
      </c>
      <c r="I898">
        <f>ROUND(calls[[#This Row],[Satisfaction Rating]],0)</f>
        <v>5</v>
      </c>
      <c r="N898" t="str" cm="1">
        <f t="array" ref="N898">_xlfn.IFS(_xlfn.SINGLE(calls[Duration])&lt;30,"UNDER 30 MINS",_xlfn.SINGLE(calls[Duration])&lt;60,"30 T0 60 MINS",_xlfn.SINGLE(calls[Duration])&lt;120,"1 TO 2 HRS",TRUE,"ABOVE 2 HRS")</f>
        <v>30 T0 60 MINS</v>
      </c>
    </row>
    <row r="899" spans="1:14" x14ac:dyDescent="0.3">
      <c r="A899" t="s">
        <v>933</v>
      </c>
      <c r="B899" t="s">
        <v>26</v>
      </c>
      <c r="C899">
        <v>105</v>
      </c>
      <c r="D899" t="s">
        <v>36</v>
      </c>
      <c r="E899" s="1">
        <v>45237</v>
      </c>
      <c r="F899">
        <v>112</v>
      </c>
      <c r="G899">
        <v>3.2</v>
      </c>
      <c r="H899" t="str">
        <f>TEXT(calls[[#This Row],[Date of Call]],"DDDD")</f>
        <v>Tuesday</v>
      </c>
      <c r="I899">
        <f>ROUND(calls[[#This Row],[Satisfaction Rating]],0)</f>
        <v>3</v>
      </c>
      <c r="N899" t="str" cm="1">
        <f t="array" ref="N899">_xlfn.IFS(_xlfn.SINGLE(calls[Duration])&lt;30,"UNDER 30 MINS",_xlfn.SINGLE(calls[Duration])&lt;60,"30 T0 60 MINS",_xlfn.SINGLE(calls[Duration])&lt;120,"1 TO 2 HRS",TRUE,"ABOVE 2 HRS")</f>
        <v>1 TO 2 HRS</v>
      </c>
    </row>
    <row r="900" spans="1:14" x14ac:dyDescent="0.3">
      <c r="A900" t="s">
        <v>934</v>
      </c>
      <c r="B900" t="s">
        <v>22</v>
      </c>
      <c r="C900">
        <v>91</v>
      </c>
      <c r="D900" t="s">
        <v>42</v>
      </c>
      <c r="E900" s="1">
        <v>45237</v>
      </c>
      <c r="F900">
        <v>110</v>
      </c>
      <c r="G900">
        <v>3.7</v>
      </c>
      <c r="H900" t="str">
        <f>TEXT(calls[[#This Row],[Date of Call]],"DDDD")</f>
        <v>Tuesday</v>
      </c>
      <c r="I900">
        <f>ROUND(calls[[#This Row],[Satisfaction Rating]],0)</f>
        <v>4</v>
      </c>
      <c r="N900" t="str" cm="1">
        <f t="array" ref="N900">_xlfn.IFS(_xlfn.SINGLE(calls[Duration])&lt;30,"UNDER 30 MINS",_xlfn.SINGLE(calls[Duration])&lt;60,"30 T0 60 MINS",_xlfn.SINGLE(calls[Duration])&lt;120,"1 TO 2 HRS",TRUE,"ABOVE 2 HRS")</f>
        <v>1 TO 2 HRS</v>
      </c>
    </row>
    <row r="901" spans="1:14" x14ac:dyDescent="0.3">
      <c r="A901" t="s">
        <v>935</v>
      </c>
      <c r="B901" t="s">
        <v>50</v>
      </c>
      <c r="C901">
        <v>74</v>
      </c>
      <c r="D901" t="s">
        <v>13</v>
      </c>
      <c r="E901" s="1">
        <v>45238</v>
      </c>
      <c r="F901">
        <v>160</v>
      </c>
      <c r="G901">
        <v>2.7</v>
      </c>
      <c r="H901" t="str">
        <f>TEXT(calls[[#This Row],[Date of Call]],"DDDD")</f>
        <v>Wednesday</v>
      </c>
      <c r="I901">
        <f>ROUND(calls[[#This Row],[Satisfaction Rating]],0)</f>
        <v>3</v>
      </c>
      <c r="N901" t="str" cm="1">
        <f t="array" ref="N901">_xlfn.IFS(_xlfn.SINGLE(calls[Duration])&lt;30,"UNDER 30 MINS",_xlfn.SINGLE(calls[Duration])&lt;60,"30 T0 60 MINS",_xlfn.SINGLE(calls[Duration])&lt;120,"1 TO 2 HRS",TRUE,"ABOVE 2 HRS")</f>
        <v>1 TO 2 HRS</v>
      </c>
    </row>
    <row r="902" spans="1:14" x14ac:dyDescent="0.3">
      <c r="A902" t="s">
        <v>936</v>
      </c>
      <c r="B902" t="s">
        <v>50</v>
      </c>
      <c r="C902">
        <v>30</v>
      </c>
      <c r="D902" t="s">
        <v>42</v>
      </c>
      <c r="E902" s="1">
        <v>45238</v>
      </c>
      <c r="F902">
        <v>84</v>
      </c>
      <c r="G902">
        <v>4</v>
      </c>
      <c r="H902" t="str">
        <f>TEXT(calls[[#This Row],[Date of Call]],"DDDD")</f>
        <v>Wednesday</v>
      </c>
      <c r="I902">
        <f>ROUND(calls[[#This Row],[Satisfaction Rating]],0)</f>
        <v>4</v>
      </c>
      <c r="N902" t="str" cm="1">
        <f t="array" ref="N902">_xlfn.IFS(_xlfn.SINGLE(calls[Duration])&lt;30,"UNDER 30 MINS",_xlfn.SINGLE(calls[Duration])&lt;60,"30 T0 60 MINS",_xlfn.SINGLE(calls[Duration])&lt;120,"1 TO 2 HRS",TRUE,"ABOVE 2 HRS")</f>
        <v>30 T0 60 MINS</v>
      </c>
    </row>
    <row r="903" spans="1:14" x14ac:dyDescent="0.3">
      <c r="A903" t="s">
        <v>937</v>
      </c>
      <c r="B903" t="s">
        <v>22</v>
      </c>
      <c r="C903">
        <v>56</v>
      </c>
      <c r="D903" t="s">
        <v>23</v>
      </c>
      <c r="E903" s="1">
        <v>45238</v>
      </c>
      <c r="F903">
        <v>124</v>
      </c>
      <c r="G903">
        <v>2.6</v>
      </c>
      <c r="H903" t="str">
        <f>TEXT(calls[[#This Row],[Date of Call]],"DDDD")</f>
        <v>Wednesday</v>
      </c>
      <c r="I903">
        <f>ROUND(calls[[#This Row],[Satisfaction Rating]],0)</f>
        <v>3</v>
      </c>
      <c r="N903" t="str" cm="1">
        <f t="array" ref="N903">_xlfn.IFS(_xlfn.SINGLE(calls[Duration])&lt;30,"UNDER 30 MINS",_xlfn.SINGLE(calls[Duration])&lt;60,"30 T0 60 MINS",_xlfn.SINGLE(calls[Duration])&lt;120,"1 TO 2 HRS",TRUE,"ABOVE 2 HRS")</f>
        <v>30 T0 60 MINS</v>
      </c>
    </row>
    <row r="904" spans="1:14" x14ac:dyDescent="0.3">
      <c r="A904" t="s">
        <v>938</v>
      </c>
      <c r="B904" t="s">
        <v>50</v>
      </c>
      <c r="C904">
        <v>151</v>
      </c>
      <c r="D904" t="s">
        <v>29</v>
      </c>
      <c r="E904" s="1">
        <v>45238</v>
      </c>
      <c r="F904">
        <v>84</v>
      </c>
      <c r="G904">
        <v>4.5999999999999996</v>
      </c>
      <c r="H904" t="str">
        <f>TEXT(calls[[#This Row],[Date of Call]],"DDDD")</f>
        <v>Wednesday</v>
      </c>
      <c r="I904">
        <f>ROUND(calls[[#This Row],[Satisfaction Rating]],0)</f>
        <v>5</v>
      </c>
      <c r="N904" t="str" cm="1">
        <f t="array" ref="N904">_xlfn.IFS(_xlfn.SINGLE(calls[Duration])&lt;30,"UNDER 30 MINS",_xlfn.SINGLE(calls[Duration])&lt;60,"30 T0 60 MINS",_xlfn.SINGLE(calls[Duration])&lt;120,"1 TO 2 HRS",TRUE,"ABOVE 2 HRS")</f>
        <v>ABOVE 2 HRS</v>
      </c>
    </row>
    <row r="905" spans="1:14" x14ac:dyDescent="0.3">
      <c r="A905" t="s">
        <v>939</v>
      </c>
      <c r="B905" t="s">
        <v>18</v>
      </c>
      <c r="C905">
        <v>108</v>
      </c>
      <c r="D905" t="s">
        <v>36</v>
      </c>
      <c r="E905" s="1">
        <v>45239</v>
      </c>
      <c r="F905">
        <v>130</v>
      </c>
      <c r="G905">
        <v>2.7</v>
      </c>
      <c r="H905" t="str">
        <f>TEXT(calls[[#This Row],[Date of Call]],"DDDD")</f>
        <v>Thursday</v>
      </c>
      <c r="I905">
        <f>ROUND(calls[[#This Row],[Satisfaction Rating]],0)</f>
        <v>3</v>
      </c>
      <c r="N905" t="str" cm="1">
        <f t="array" ref="N905">_xlfn.IFS(_xlfn.SINGLE(calls[Duration])&lt;30,"UNDER 30 MINS",_xlfn.SINGLE(calls[Duration])&lt;60,"30 T0 60 MINS",_xlfn.SINGLE(calls[Duration])&lt;120,"1 TO 2 HRS",TRUE,"ABOVE 2 HRS")</f>
        <v>1 TO 2 HRS</v>
      </c>
    </row>
    <row r="906" spans="1:14" x14ac:dyDescent="0.3">
      <c r="A906" t="s">
        <v>940</v>
      </c>
      <c r="B906" t="s">
        <v>46</v>
      </c>
      <c r="C906">
        <v>124</v>
      </c>
      <c r="D906" t="s">
        <v>13</v>
      </c>
      <c r="E906" s="1">
        <v>45239</v>
      </c>
      <c r="F906">
        <v>215</v>
      </c>
      <c r="G906">
        <v>3.5</v>
      </c>
      <c r="H906" t="str">
        <f>TEXT(calls[[#This Row],[Date of Call]],"DDDD")</f>
        <v>Thursday</v>
      </c>
      <c r="I906">
        <f>ROUND(calls[[#This Row],[Satisfaction Rating]],0)</f>
        <v>4</v>
      </c>
      <c r="N906" t="str" cm="1">
        <f t="array" ref="N906">_xlfn.IFS(_xlfn.SINGLE(calls[Duration])&lt;30,"UNDER 30 MINS",_xlfn.SINGLE(calls[Duration])&lt;60,"30 T0 60 MINS",_xlfn.SINGLE(calls[Duration])&lt;120,"1 TO 2 HRS",TRUE,"ABOVE 2 HRS")</f>
        <v>ABOVE 2 HRS</v>
      </c>
    </row>
    <row r="907" spans="1:14" x14ac:dyDescent="0.3">
      <c r="A907" t="s">
        <v>941</v>
      </c>
      <c r="B907" t="s">
        <v>26</v>
      </c>
      <c r="C907">
        <v>110</v>
      </c>
      <c r="D907" t="s">
        <v>23</v>
      </c>
      <c r="E907" s="1">
        <v>45240</v>
      </c>
      <c r="F907">
        <v>132</v>
      </c>
      <c r="G907">
        <v>3.6</v>
      </c>
      <c r="H907" t="str">
        <f>TEXT(calls[[#This Row],[Date of Call]],"DDDD")</f>
        <v>Friday</v>
      </c>
      <c r="I907">
        <f>ROUND(calls[[#This Row],[Satisfaction Rating]],0)</f>
        <v>4</v>
      </c>
      <c r="N907" t="str" cm="1">
        <f t="array" ref="N907">_xlfn.IFS(_xlfn.SINGLE(calls[Duration])&lt;30,"UNDER 30 MINS",_xlfn.SINGLE(calls[Duration])&lt;60,"30 T0 60 MINS",_xlfn.SINGLE(calls[Duration])&lt;120,"1 TO 2 HRS",TRUE,"ABOVE 2 HRS")</f>
        <v>1 TO 2 HRS</v>
      </c>
    </row>
    <row r="908" spans="1:14" x14ac:dyDescent="0.3">
      <c r="A908" t="s">
        <v>942</v>
      </c>
      <c r="B908" t="s">
        <v>41</v>
      </c>
      <c r="C908">
        <v>89</v>
      </c>
      <c r="D908" t="s">
        <v>36</v>
      </c>
      <c r="E908" s="1">
        <v>45240</v>
      </c>
      <c r="F908">
        <v>88</v>
      </c>
      <c r="G908">
        <v>4.9000000000000004</v>
      </c>
      <c r="H908" t="str">
        <f>TEXT(calls[[#This Row],[Date of Call]],"DDDD")</f>
        <v>Friday</v>
      </c>
      <c r="I908">
        <f>ROUND(calls[[#This Row],[Satisfaction Rating]],0)</f>
        <v>5</v>
      </c>
      <c r="N908" t="str" cm="1">
        <f t="array" ref="N908">_xlfn.IFS(_xlfn.SINGLE(calls[Duration])&lt;30,"UNDER 30 MINS",_xlfn.SINGLE(calls[Duration])&lt;60,"30 T0 60 MINS",_xlfn.SINGLE(calls[Duration])&lt;120,"1 TO 2 HRS",TRUE,"ABOVE 2 HRS")</f>
        <v>1 TO 2 HRS</v>
      </c>
    </row>
    <row r="909" spans="1:14" x14ac:dyDescent="0.3">
      <c r="A909" t="s">
        <v>943</v>
      </c>
      <c r="B909" t="s">
        <v>12</v>
      </c>
      <c r="C909">
        <v>95</v>
      </c>
      <c r="D909" t="s">
        <v>23</v>
      </c>
      <c r="E909" s="1">
        <v>45240</v>
      </c>
      <c r="F909">
        <v>140</v>
      </c>
      <c r="G909">
        <v>3.9</v>
      </c>
      <c r="H909" t="str">
        <f>TEXT(calls[[#This Row],[Date of Call]],"DDDD")</f>
        <v>Friday</v>
      </c>
      <c r="I909">
        <f>ROUND(calls[[#This Row],[Satisfaction Rating]],0)</f>
        <v>4</v>
      </c>
      <c r="N909" t="str" cm="1">
        <f t="array" ref="N909">_xlfn.IFS(_xlfn.SINGLE(calls[Duration])&lt;30,"UNDER 30 MINS",_xlfn.SINGLE(calls[Duration])&lt;60,"30 T0 60 MINS",_xlfn.SINGLE(calls[Duration])&lt;120,"1 TO 2 HRS",TRUE,"ABOVE 2 HRS")</f>
        <v>1 TO 2 HRS</v>
      </c>
    </row>
    <row r="910" spans="1:14" x14ac:dyDescent="0.3">
      <c r="A910" t="s">
        <v>944</v>
      </c>
      <c r="B910" t="s">
        <v>50</v>
      </c>
      <c r="C910">
        <v>84</v>
      </c>
      <c r="D910" t="s">
        <v>36</v>
      </c>
      <c r="E910" s="1">
        <v>45241</v>
      </c>
      <c r="F910">
        <v>66</v>
      </c>
      <c r="G910">
        <v>4.7</v>
      </c>
      <c r="H910" t="str">
        <f>TEXT(calls[[#This Row],[Date of Call]],"DDDD")</f>
        <v>Saturday</v>
      </c>
      <c r="I910">
        <f>ROUND(calls[[#This Row],[Satisfaction Rating]],0)</f>
        <v>5</v>
      </c>
      <c r="N910" t="str" cm="1">
        <f t="array" ref="N910">_xlfn.IFS(_xlfn.SINGLE(calls[Duration])&lt;30,"UNDER 30 MINS",_xlfn.SINGLE(calls[Duration])&lt;60,"30 T0 60 MINS",_xlfn.SINGLE(calls[Duration])&lt;120,"1 TO 2 HRS",TRUE,"ABOVE 2 HRS")</f>
        <v>1 TO 2 HRS</v>
      </c>
    </row>
    <row r="911" spans="1:14" x14ac:dyDescent="0.3">
      <c r="A911" t="s">
        <v>945</v>
      </c>
      <c r="B911" t="s">
        <v>19</v>
      </c>
      <c r="C911">
        <v>89</v>
      </c>
      <c r="D911" t="s">
        <v>13</v>
      </c>
      <c r="E911" s="1">
        <v>45241</v>
      </c>
      <c r="F911">
        <v>23</v>
      </c>
      <c r="G911">
        <v>4.5</v>
      </c>
      <c r="H911" t="str">
        <f>TEXT(calls[[#This Row],[Date of Call]],"DDDD")</f>
        <v>Saturday</v>
      </c>
      <c r="I911">
        <f>ROUND(calls[[#This Row],[Satisfaction Rating]],0)</f>
        <v>5</v>
      </c>
      <c r="N911" t="str" cm="1">
        <f t="array" ref="N911">_xlfn.IFS(_xlfn.SINGLE(calls[Duration])&lt;30,"UNDER 30 MINS",_xlfn.SINGLE(calls[Duration])&lt;60,"30 T0 60 MINS",_xlfn.SINGLE(calls[Duration])&lt;120,"1 TO 2 HRS",TRUE,"ABOVE 2 HRS")</f>
        <v>1 TO 2 HRS</v>
      </c>
    </row>
    <row r="912" spans="1:14" x14ac:dyDescent="0.3">
      <c r="A912" t="s">
        <v>946</v>
      </c>
      <c r="B912" t="s">
        <v>41</v>
      </c>
      <c r="C912">
        <v>146</v>
      </c>
      <c r="D912" t="s">
        <v>13</v>
      </c>
      <c r="E912" s="1">
        <v>45242</v>
      </c>
      <c r="F912">
        <v>220</v>
      </c>
      <c r="G912">
        <v>4.5</v>
      </c>
      <c r="H912" t="str">
        <f>TEXT(calls[[#This Row],[Date of Call]],"DDDD")</f>
        <v>Sunday</v>
      </c>
      <c r="I912">
        <f>ROUND(calls[[#This Row],[Satisfaction Rating]],0)</f>
        <v>5</v>
      </c>
      <c r="N912" t="str" cm="1">
        <f t="array" ref="N912">_xlfn.IFS(_xlfn.SINGLE(calls[Duration])&lt;30,"UNDER 30 MINS",_xlfn.SINGLE(calls[Duration])&lt;60,"30 T0 60 MINS",_xlfn.SINGLE(calls[Duration])&lt;120,"1 TO 2 HRS",TRUE,"ABOVE 2 HRS")</f>
        <v>ABOVE 2 HRS</v>
      </c>
    </row>
    <row r="913" spans="1:14" x14ac:dyDescent="0.3">
      <c r="A913" t="s">
        <v>947</v>
      </c>
      <c r="B913" t="s">
        <v>45</v>
      </c>
      <c r="C913">
        <v>62</v>
      </c>
      <c r="D913" t="s">
        <v>42</v>
      </c>
      <c r="E913" s="1">
        <v>45243</v>
      </c>
      <c r="F913">
        <v>175</v>
      </c>
      <c r="G913">
        <v>4.4000000000000004</v>
      </c>
      <c r="H913" t="str">
        <f>TEXT(calls[[#This Row],[Date of Call]],"DDDD")</f>
        <v>Monday</v>
      </c>
      <c r="I913">
        <f>ROUND(calls[[#This Row],[Satisfaction Rating]],0)</f>
        <v>4</v>
      </c>
      <c r="N913" t="str" cm="1">
        <f t="array" ref="N913">_xlfn.IFS(_xlfn.SINGLE(calls[Duration])&lt;30,"UNDER 30 MINS",_xlfn.SINGLE(calls[Duration])&lt;60,"30 T0 60 MINS",_xlfn.SINGLE(calls[Duration])&lt;120,"1 TO 2 HRS",TRUE,"ABOVE 2 HRS")</f>
        <v>1 TO 2 HRS</v>
      </c>
    </row>
    <row r="914" spans="1:14" x14ac:dyDescent="0.3">
      <c r="A914" t="s">
        <v>948</v>
      </c>
      <c r="B914" t="s">
        <v>14</v>
      </c>
      <c r="C914">
        <v>82</v>
      </c>
      <c r="D914" t="s">
        <v>13</v>
      </c>
      <c r="E914" s="1">
        <v>45243</v>
      </c>
      <c r="F914">
        <v>172</v>
      </c>
      <c r="G914">
        <v>4.0999999999999996</v>
      </c>
      <c r="H914" t="str">
        <f>TEXT(calls[[#This Row],[Date of Call]],"DDDD")</f>
        <v>Monday</v>
      </c>
      <c r="I914">
        <f>ROUND(calls[[#This Row],[Satisfaction Rating]],0)</f>
        <v>4</v>
      </c>
      <c r="N914" t="str" cm="1">
        <f t="array" ref="N914">_xlfn.IFS(_xlfn.SINGLE(calls[Duration])&lt;30,"UNDER 30 MINS",_xlfn.SINGLE(calls[Duration])&lt;60,"30 T0 60 MINS",_xlfn.SINGLE(calls[Duration])&lt;120,"1 TO 2 HRS",TRUE,"ABOVE 2 HRS")</f>
        <v>1 TO 2 HRS</v>
      </c>
    </row>
    <row r="915" spans="1:14" x14ac:dyDescent="0.3">
      <c r="A915" t="s">
        <v>949</v>
      </c>
      <c r="B915" t="s">
        <v>39</v>
      </c>
      <c r="C915">
        <v>91</v>
      </c>
      <c r="D915" t="s">
        <v>29</v>
      </c>
      <c r="E915" s="1">
        <v>45243</v>
      </c>
      <c r="F915">
        <v>108</v>
      </c>
      <c r="G915">
        <v>3.8</v>
      </c>
      <c r="H915" t="str">
        <f>TEXT(calls[[#This Row],[Date of Call]],"DDDD")</f>
        <v>Monday</v>
      </c>
      <c r="I915">
        <f>ROUND(calls[[#This Row],[Satisfaction Rating]],0)</f>
        <v>4</v>
      </c>
      <c r="N915" t="str" cm="1">
        <f t="array" ref="N915">_xlfn.IFS(_xlfn.SINGLE(calls[Duration])&lt;30,"UNDER 30 MINS",_xlfn.SINGLE(calls[Duration])&lt;60,"30 T0 60 MINS",_xlfn.SINGLE(calls[Duration])&lt;120,"1 TO 2 HRS",TRUE,"ABOVE 2 HRS")</f>
        <v>1 TO 2 HRS</v>
      </c>
    </row>
    <row r="916" spans="1:14" x14ac:dyDescent="0.3">
      <c r="A916" t="s">
        <v>950</v>
      </c>
      <c r="B916" t="s">
        <v>19</v>
      </c>
      <c r="C916">
        <v>39</v>
      </c>
      <c r="D916" t="s">
        <v>13</v>
      </c>
      <c r="E916" s="1">
        <v>45244</v>
      </c>
      <c r="F916">
        <v>43</v>
      </c>
      <c r="G916">
        <v>4.2</v>
      </c>
      <c r="H916" t="str">
        <f>TEXT(calls[[#This Row],[Date of Call]],"DDDD")</f>
        <v>Tuesday</v>
      </c>
      <c r="I916">
        <f>ROUND(calls[[#This Row],[Satisfaction Rating]],0)</f>
        <v>4</v>
      </c>
      <c r="N916" t="str" cm="1">
        <f t="array" ref="N916">_xlfn.IFS(_xlfn.SINGLE(calls[Duration])&lt;30,"UNDER 30 MINS",_xlfn.SINGLE(calls[Duration])&lt;60,"30 T0 60 MINS",_xlfn.SINGLE(calls[Duration])&lt;120,"1 TO 2 HRS",TRUE,"ABOVE 2 HRS")</f>
        <v>30 T0 60 MINS</v>
      </c>
    </row>
    <row r="917" spans="1:14" x14ac:dyDescent="0.3">
      <c r="A917" t="s">
        <v>951</v>
      </c>
      <c r="B917" t="s">
        <v>41</v>
      </c>
      <c r="C917">
        <v>149</v>
      </c>
      <c r="D917" t="s">
        <v>23</v>
      </c>
      <c r="E917" s="1">
        <v>45244</v>
      </c>
      <c r="F917">
        <v>44</v>
      </c>
      <c r="G917">
        <v>2.2000000000000002</v>
      </c>
      <c r="H917" t="str">
        <f>TEXT(calls[[#This Row],[Date of Call]],"DDDD")</f>
        <v>Tuesday</v>
      </c>
      <c r="I917">
        <f>ROUND(calls[[#This Row],[Satisfaction Rating]],0)</f>
        <v>2</v>
      </c>
      <c r="N917" t="str" cm="1">
        <f t="array" ref="N917">_xlfn.IFS(_xlfn.SINGLE(calls[Duration])&lt;30,"UNDER 30 MINS",_xlfn.SINGLE(calls[Duration])&lt;60,"30 T0 60 MINS",_xlfn.SINGLE(calls[Duration])&lt;120,"1 TO 2 HRS",TRUE,"ABOVE 2 HRS")</f>
        <v>ABOVE 2 HRS</v>
      </c>
    </row>
    <row r="918" spans="1:14" x14ac:dyDescent="0.3">
      <c r="A918" t="s">
        <v>952</v>
      </c>
      <c r="B918" t="s">
        <v>14</v>
      </c>
      <c r="C918">
        <v>138</v>
      </c>
      <c r="D918" t="s">
        <v>42</v>
      </c>
      <c r="E918" s="1">
        <v>45244</v>
      </c>
      <c r="F918">
        <v>105</v>
      </c>
      <c r="G918">
        <v>3.9</v>
      </c>
      <c r="H918" t="str">
        <f>TEXT(calls[[#This Row],[Date of Call]],"DDDD")</f>
        <v>Tuesday</v>
      </c>
      <c r="I918">
        <f>ROUND(calls[[#This Row],[Satisfaction Rating]],0)</f>
        <v>4</v>
      </c>
      <c r="N918" t="str" cm="1">
        <f t="array" ref="N918">_xlfn.IFS(_xlfn.SINGLE(calls[Duration])&lt;30,"UNDER 30 MINS",_xlfn.SINGLE(calls[Duration])&lt;60,"30 T0 60 MINS",_xlfn.SINGLE(calls[Duration])&lt;120,"1 TO 2 HRS",TRUE,"ABOVE 2 HRS")</f>
        <v>ABOVE 2 HRS</v>
      </c>
    </row>
    <row r="919" spans="1:14" x14ac:dyDescent="0.3">
      <c r="A919" t="s">
        <v>953</v>
      </c>
      <c r="B919" t="s">
        <v>45</v>
      </c>
      <c r="C919">
        <v>113</v>
      </c>
      <c r="D919" t="s">
        <v>23</v>
      </c>
      <c r="E919" s="1">
        <v>45245</v>
      </c>
      <c r="F919">
        <v>34</v>
      </c>
      <c r="G919">
        <v>3.9</v>
      </c>
      <c r="H919" t="str">
        <f>TEXT(calls[[#This Row],[Date of Call]],"DDDD")</f>
        <v>Wednesday</v>
      </c>
      <c r="I919">
        <f>ROUND(calls[[#This Row],[Satisfaction Rating]],0)</f>
        <v>4</v>
      </c>
      <c r="N919" t="str" cm="1">
        <f t="array" ref="N919">_xlfn.IFS(_xlfn.SINGLE(calls[Duration])&lt;30,"UNDER 30 MINS",_xlfn.SINGLE(calls[Duration])&lt;60,"30 T0 60 MINS",_xlfn.SINGLE(calls[Duration])&lt;120,"1 TO 2 HRS",TRUE,"ABOVE 2 HRS")</f>
        <v>1 TO 2 HRS</v>
      </c>
    </row>
    <row r="920" spans="1:14" x14ac:dyDescent="0.3">
      <c r="A920" t="s">
        <v>954</v>
      </c>
      <c r="B920" t="s">
        <v>28</v>
      </c>
      <c r="C920">
        <v>88</v>
      </c>
      <c r="D920" t="s">
        <v>13</v>
      </c>
      <c r="E920" s="1">
        <v>45245</v>
      </c>
      <c r="F920">
        <v>220</v>
      </c>
      <c r="G920">
        <v>4.0999999999999996</v>
      </c>
      <c r="H920" t="str">
        <f>TEXT(calls[[#This Row],[Date of Call]],"DDDD")</f>
        <v>Wednesday</v>
      </c>
      <c r="I920">
        <f>ROUND(calls[[#This Row],[Satisfaction Rating]],0)</f>
        <v>4</v>
      </c>
      <c r="N920" t="str" cm="1">
        <f t="array" ref="N920">_xlfn.IFS(_xlfn.SINGLE(calls[Duration])&lt;30,"UNDER 30 MINS",_xlfn.SINGLE(calls[Duration])&lt;60,"30 T0 60 MINS",_xlfn.SINGLE(calls[Duration])&lt;120,"1 TO 2 HRS",TRUE,"ABOVE 2 HRS")</f>
        <v>1 TO 2 HRS</v>
      </c>
    </row>
    <row r="921" spans="1:14" x14ac:dyDescent="0.3">
      <c r="A921" t="s">
        <v>955</v>
      </c>
      <c r="B921" t="s">
        <v>12</v>
      </c>
      <c r="C921">
        <v>64</v>
      </c>
      <c r="D921" t="s">
        <v>42</v>
      </c>
      <c r="E921" s="1">
        <v>45245</v>
      </c>
      <c r="F921">
        <v>225</v>
      </c>
      <c r="G921">
        <v>4.5999999999999996</v>
      </c>
      <c r="H921" t="str">
        <f>TEXT(calls[[#This Row],[Date of Call]],"DDDD")</f>
        <v>Wednesday</v>
      </c>
      <c r="I921">
        <f>ROUND(calls[[#This Row],[Satisfaction Rating]],0)</f>
        <v>5</v>
      </c>
      <c r="N921" t="str" cm="1">
        <f t="array" ref="N921">_xlfn.IFS(_xlfn.SINGLE(calls[Duration])&lt;30,"UNDER 30 MINS",_xlfn.SINGLE(calls[Duration])&lt;60,"30 T0 60 MINS",_xlfn.SINGLE(calls[Duration])&lt;120,"1 TO 2 HRS",TRUE,"ABOVE 2 HRS")</f>
        <v>1 TO 2 HRS</v>
      </c>
    </row>
    <row r="922" spans="1:14" x14ac:dyDescent="0.3">
      <c r="A922" t="s">
        <v>956</v>
      </c>
      <c r="B922" t="s">
        <v>22</v>
      </c>
      <c r="C922">
        <v>53</v>
      </c>
      <c r="D922" t="s">
        <v>42</v>
      </c>
      <c r="E922" s="1">
        <v>45246</v>
      </c>
      <c r="F922">
        <v>37</v>
      </c>
      <c r="G922">
        <v>4.0999999999999996</v>
      </c>
      <c r="H922" t="str">
        <f>TEXT(calls[[#This Row],[Date of Call]],"DDDD")</f>
        <v>Thursday</v>
      </c>
      <c r="I922">
        <f>ROUND(calls[[#This Row],[Satisfaction Rating]],0)</f>
        <v>4</v>
      </c>
      <c r="N922" t="str" cm="1">
        <f t="array" ref="N922">_xlfn.IFS(_xlfn.SINGLE(calls[Duration])&lt;30,"UNDER 30 MINS",_xlfn.SINGLE(calls[Duration])&lt;60,"30 T0 60 MINS",_xlfn.SINGLE(calls[Duration])&lt;120,"1 TO 2 HRS",TRUE,"ABOVE 2 HRS")</f>
        <v>30 T0 60 MINS</v>
      </c>
    </row>
    <row r="923" spans="1:14" x14ac:dyDescent="0.3">
      <c r="A923" t="s">
        <v>957</v>
      </c>
      <c r="B923" t="s">
        <v>46</v>
      </c>
      <c r="C923">
        <v>63</v>
      </c>
      <c r="D923" t="s">
        <v>23</v>
      </c>
      <c r="E923" s="1">
        <v>45246</v>
      </c>
      <c r="F923">
        <v>44</v>
      </c>
      <c r="G923">
        <v>5</v>
      </c>
      <c r="H923" t="str">
        <f>TEXT(calls[[#This Row],[Date of Call]],"DDDD")</f>
        <v>Thursday</v>
      </c>
      <c r="I923">
        <f>ROUND(calls[[#This Row],[Satisfaction Rating]],0)</f>
        <v>5</v>
      </c>
      <c r="N923" t="str" cm="1">
        <f t="array" ref="N923">_xlfn.IFS(_xlfn.SINGLE(calls[Duration])&lt;30,"UNDER 30 MINS",_xlfn.SINGLE(calls[Duration])&lt;60,"30 T0 60 MINS",_xlfn.SINGLE(calls[Duration])&lt;120,"1 TO 2 HRS",TRUE,"ABOVE 2 HRS")</f>
        <v>1 TO 2 HRS</v>
      </c>
    </row>
    <row r="924" spans="1:14" x14ac:dyDescent="0.3">
      <c r="A924" t="s">
        <v>958</v>
      </c>
      <c r="B924" t="s">
        <v>33</v>
      </c>
      <c r="C924">
        <v>54</v>
      </c>
      <c r="D924" t="s">
        <v>23</v>
      </c>
      <c r="E924" s="1">
        <v>45247</v>
      </c>
      <c r="F924">
        <v>35</v>
      </c>
      <c r="G924">
        <v>2.8</v>
      </c>
      <c r="H924" t="str">
        <f>TEXT(calls[[#This Row],[Date of Call]],"DDDD")</f>
        <v>Friday</v>
      </c>
      <c r="I924">
        <f>ROUND(calls[[#This Row],[Satisfaction Rating]],0)</f>
        <v>3</v>
      </c>
      <c r="N924" t="str" cm="1">
        <f t="array" ref="N924">_xlfn.IFS(_xlfn.SINGLE(calls[Duration])&lt;30,"UNDER 30 MINS",_xlfn.SINGLE(calls[Duration])&lt;60,"30 T0 60 MINS",_xlfn.SINGLE(calls[Duration])&lt;120,"1 TO 2 HRS",TRUE,"ABOVE 2 HRS")</f>
        <v>30 T0 60 MINS</v>
      </c>
    </row>
    <row r="925" spans="1:14" x14ac:dyDescent="0.3">
      <c r="A925" t="s">
        <v>959</v>
      </c>
      <c r="B925" t="s">
        <v>46</v>
      </c>
      <c r="C925">
        <v>54</v>
      </c>
      <c r="D925" t="s">
        <v>13</v>
      </c>
      <c r="E925" s="1">
        <v>45247</v>
      </c>
      <c r="F925">
        <v>145</v>
      </c>
      <c r="G925">
        <v>2.7</v>
      </c>
      <c r="H925" t="str">
        <f>TEXT(calls[[#This Row],[Date of Call]],"DDDD")</f>
        <v>Friday</v>
      </c>
      <c r="I925">
        <f>ROUND(calls[[#This Row],[Satisfaction Rating]],0)</f>
        <v>3</v>
      </c>
      <c r="N925" t="str" cm="1">
        <f t="array" ref="N925">_xlfn.IFS(_xlfn.SINGLE(calls[Duration])&lt;30,"UNDER 30 MINS",_xlfn.SINGLE(calls[Duration])&lt;60,"30 T0 60 MINS",_xlfn.SINGLE(calls[Duration])&lt;120,"1 TO 2 HRS",TRUE,"ABOVE 2 HRS")</f>
        <v>30 T0 60 MINS</v>
      </c>
    </row>
    <row r="926" spans="1:14" x14ac:dyDescent="0.3">
      <c r="A926" t="s">
        <v>960</v>
      </c>
      <c r="B926" t="s">
        <v>41</v>
      </c>
      <c r="C926">
        <v>71</v>
      </c>
      <c r="D926" t="s">
        <v>42</v>
      </c>
      <c r="E926" s="1">
        <v>45247</v>
      </c>
      <c r="F926">
        <v>64</v>
      </c>
      <c r="G926">
        <v>3.9</v>
      </c>
      <c r="H926" t="str">
        <f>TEXT(calls[[#This Row],[Date of Call]],"DDDD")</f>
        <v>Friday</v>
      </c>
      <c r="I926">
        <f>ROUND(calls[[#This Row],[Satisfaction Rating]],0)</f>
        <v>4</v>
      </c>
      <c r="N926" t="str" cm="1">
        <f t="array" ref="N926">_xlfn.IFS(_xlfn.SINGLE(calls[Duration])&lt;30,"UNDER 30 MINS",_xlfn.SINGLE(calls[Duration])&lt;60,"30 T0 60 MINS",_xlfn.SINGLE(calls[Duration])&lt;120,"1 TO 2 HRS",TRUE,"ABOVE 2 HRS")</f>
        <v>1 TO 2 HRS</v>
      </c>
    </row>
    <row r="927" spans="1:14" x14ac:dyDescent="0.3">
      <c r="A927" t="s">
        <v>961</v>
      </c>
      <c r="B927" t="s">
        <v>46</v>
      </c>
      <c r="C927">
        <v>93</v>
      </c>
      <c r="D927" t="s">
        <v>13</v>
      </c>
      <c r="E927" s="1">
        <v>45248</v>
      </c>
      <c r="F927">
        <v>185</v>
      </c>
      <c r="G927">
        <v>4.3</v>
      </c>
      <c r="H927" t="str">
        <f>TEXT(calls[[#This Row],[Date of Call]],"DDDD")</f>
        <v>Saturday</v>
      </c>
      <c r="I927">
        <f>ROUND(calls[[#This Row],[Satisfaction Rating]],0)</f>
        <v>4</v>
      </c>
      <c r="N927" t="str" cm="1">
        <f t="array" ref="N927">_xlfn.IFS(_xlfn.SINGLE(calls[Duration])&lt;30,"UNDER 30 MINS",_xlfn.SINGLE(calls[Duration])&lt;60,"30 T0 60 MINS",_xlfn.SINGLE(calls[Duration])&lt;120,"1 TO 2 HRS",TRUE,"ABOVE 2 HRS")</f>
        <v>1 TO 2 HRS</v>
      </c>
    </row>
    <row r="928" spans="1:14" x14ac:dyDescent="0.3">
      <c r="A928" t="s">
        <v>962</v>
      </c>
      <c r="B928" t="s">
        <v>26</v>
      </c>
      <c r="C928">
        <v>96</v>
      </c>
      <c r="D928" t="s">
        <v>23</v>
      </c>
      <c r="E928" s="1">
        <v>45248</v>
      </c>
      <c r="F928">
        <v>215</v>
      </c>
      <c r="G928">
        <v>2.5</v>
      </c>
      <c r="H928" t="str">
        <f>TEXT(calls[[#This Row],[Date of Call]],"DDDD")</f>
        <v>Saturday</v>
      </c>
      <c r="I928">
        <f>ROUND(calls[[#This Row],[Satisfaction Rating]],0)</f>
        <v>3</v>
      </c>
      <c r="N928" t="str" cm="1">
        <f t="array" ref="N928">_xlfn.IFS(_xlfn.SINGLE(calls[Duration])&lt;30,"UNDER 30 MINS",_xlfn.SINGLE(calls[Duration])&lt;60,"30 T0 60 MINS",_xlfn.SINGLE(calls[Duration])&lt;120,"1 TO 2 HRS",TRUE,"ABOVE 2 HRS")</f>
        <v>1 TO 2 HRS</v>
      </c>
    </row>
    <row r="929" spans="1:14" x14ac:dyDescent="0.3">
      <c r="A929" t="s">
        <v>963</v>
      </c>
      <c r="B929" t="s">
        <v>19</v>
      </c>
      <c r="C929">
        <v>31</v>
      </c>
      <c r="D929" t="s">
        <v>29</v>
      </c>
      <c r="E929" s="1">
        <v>45248</v>
      </c>
      <c r="F929">
        <v>88</v>
      </c>
      <c r="G929">
        <v>3.4</v>
      </c>
      <c r="H929" t="str">
        <f>TEXT(calls[[#This Row],[Date of Call]],"DDDD")</f>
        <v>Saturday</v>
      </c>
      <c r="I929">
        <f>ROUND(calls[[#This Row],[Satisfaction Rating]],0)</f>
        <v>3</v>
      </c>
      <c r="N929" t="str" cm="1">
        <f t="array" ref="N929">_xlfn.IFS(_xlfn.SINGLE(calls[Duration])&lt;30,"UNDER 30 MINS",_xlfn.SINGLE(calls[Duration])&lt;60,"30 T0 60 MINS",_xlfn.SINGLE(calls[Duration])&lt;120,"1 TO 2 HRS",TRUE,"ABOVE 2 HRS")</f>
        <v>30 T0 60 MINS</v>
      </c>
    </row>
    <row r="930" spans="1:14" x14ac:dyDescent="0.3">
      <c r="A930" t="s">
        <v>964</v>
      </c>
      <c r="B930" t="s">
        <v>46</v>
      </c>
      <c r="C930">
        <v>107</v>
      </c>
      <c r="D930" t="s">
        <v>42</v>
      </c>
      <c r="E930" s="1">
        <v>45248</v>
      </c>
      <c r="F930">
        <v>23</v>
      </c>
      <c r="G930">
        <v>3.4</v>
      </c>
      <c r="H930" t="str">
        <f>TEXT(calls[[#This Row],[Date of Call]],"DDDD")</f>
        <v>Saturday</v>
      </c>
      <c r="I930">
        <f>ROUND(calls[[#This Row],[Satisfaction Rating]],0)</f>
        <v>3</v>
      </c>
      <c r="N930" t="str" cm="1">
        <f t="array" ref="N930">_xlfn.IFS(_xlfn.SINGLE(calls[Duration])&lt;30,"UNDER 30 MINS",_xlfn.SINGLE(calls[Duration])&lt;60,"30 T0 60 MINS",_xlfn.SINGLE(calls[Duration])&lt;120,"1 TO 2 HRS",TRUE,"ABOVE 2 HRS")</f>
        <v>1 TO 2 HRS</v>
      </c>
    </row>
    <row r="931" spans="1:14" x14ac:dyDescent="0.3">
      <c r="A931" t="s">
        <v>965</v>
      </c>
      <c r="B931" t="s">
        <v>22</v>
      </c>
      <c r="C931">
        <v>50</v>
      </c>
      <c r="D931" t="s">
        <v>29</v>
      </c>
      <c r="E931" s="1">
        <v>45249</v>
      </c>
      <c r="F931">
        <v>180</v>
      </c>
      <c r="G931">
        <v>1.8</v>
      </c>
      <c r="H931" t="str">
        <f>TEXT(calls[[#This Row],[Date of Call]],"DDDD")</f>
        <v>Sunday</v>
      </c>
      <c r="I931">
        <f>ROUND(calls[[#This Row],[Satisfaction Rating]],0)</f>
        <v>2</v>
      </c>
      <c r="N931" t="str" cm="1">
        <f t="array" ref="N931">_xlfn.IFS(_xlfn.SINGLE(calls[Duration])&lt;30,"UNDER 30 MINS",_xlfn.SINGLE(calls[Duration])&lt;60,"30 T0 60 MINS",_xlfn.SINGLE(calls[Duration])&lt;120,"1 TO 2 HRS",TRUE,"ABOVE 2 HRS")</f>
        <v>30 T0 60 MINS</v>
      </c>
    </row>
    <row r="932" spans="1:14" x14ac:dyDescent="0.3">
      <c r="A932" t="s">
        <v>966</v>
      </c>
      <c r="B932" t="s">
        <v>14</v>
      </c>
      <c r="C932">
        <v>69</v>
      </c>
      <c r="D932" t="s">
        <v>42</v>
      </c>
      <c r="E932" s="1">
        <v>45250</v>
      </c>
      <c r="F932">
        <v>225</v>
      </c>
      <c r="G932">
        <v>3.7</v>
      </c>
      <c r="H932" t="str">
        <f>TEXT(calls[[#This Row],[Date of Call]],"DDDD")</f>
        <v>Monday</v>
      </c>
      <c r="I932">
        <f>ROUND(calls[[#This Row],[Satisfaction Rating]],0)</f>
        <v>4</v>
      </c>
      <c r="N932" t="str" cm="1">
        <f t="array" ref="N932">_xlfn.IFS(_xlfn.SINGLE(calls[Duration])&lt;30,"UNDER 30 MINS",_xlfn.SINGLE(calls[Duration])&lt;60,"30 T0 60 MINS",_xlfn.SINGLE(calls[Duration])&lt;120,"1 TO 2 HRS",TRUE,"ABOVE 2 HRS")</f>
        <v>1 TO 2 HRS</v>
      </c>
    </row>
    <row r="933" spans="1:14" x14ac:dyDescent="0.3">
      <c r="A933" t="s">
        <v>967</v>
      </c>
      <c r="B933" t="s">
        <v>28</v>
      </c>
      <c r="C933">
        <v>26</v>
      </c>
      <c r="D933" t="s">
        <v>23</v>
      </c>
      <c r="E933" s="1">
        <v>45251</v>
      </c>
      <c r="F933">
        <v>74</v>
      </c>
      <c r="G933">
        <v>4.0999999999999996</v>
      </c>
      <c r="H933" t="str">
        <f>TEXT(calls[[#This Row],[Date of Call]],"DDDD")</f>
        <v>Tuesday</v>
      </c>
      <c r="I933">
        <f>ROUND(calls[[#This Row],[Satisfaction Rating]],0)</f>
        <v>4</v>
      </c>
      <c r="N933" t="str" cm="1">
        <f t="array" ref="N933">_xlfn.IFS(_xlfn.SINGLE(calls[Duration])&lt;30,"UNDER 30 MINS",_xlfn.SINGLE(calls[Duration])&lt;60,"30 T0 60 MINS",_xlfn.SINGLE(calls[Duration])&lt;120,"1 TO 2 HRS",TRUE,"ABOVE 2 HRS")</f>
        <v>UNDER 30 MINS</v>
      </c>
    </row>
    <row r="934" spans="1:14" x14ac:dyDescent="0.3">
      <c r="A934" t="s">
        <v>968</v>
      </c>
      <c r="B934" t="s">
        <v>26</v>
      </c>
      <c r="C934">
        <v>158</v>
      </c>
      <c r="D934" t="s">
        <v>42</v>
      </c>
      <c r="E934" s="1">
        <v>45251</v>
      </c>
      <c r="F934">
        <v>36</v>
      </c>
      <c r="G934">
        <v>3</v>
      </c>
      <c r="H934" t="str">
        <f>TEXT(calls[[#This Row],[Date of Call]],"DDDD")</f>
        <v>Tuesday</v>
      </c>
      <c r="I934">
        <f>ROUND(calls[[#This Row],[Satisfaction Rating]],0)</f>
        <v>3</v>
      </c>
      <c r="N934" t="str" cm="1">
        <f t="array" ref="N934">_xlfn.IFS(_xlfn.SINGLE(calls[Duration])&lt;30,"UNDER 30 MINS",_xlfn.SINGLE(calls[Duration])&lt;60,"30 T0 60 MINS",_xlfn.SINGLE(calls[Duration])&lt;120,"1 TO 2 HRS",TRUE,"ABOVE 2 HRS")</f>
        <v>ABOVE 2 HRS</v>
      </c>
    </row>
    <row r="935" spans="1:14" x14ac:dyDescent="0.3">
      <c r="A935" t="s">
        <v>969</v>
      </c>
      <c r="B935" t="s">
        <v>33</v>
      </c>
      <c r="C935">
        <v>99</v>
      </c>
      <c r="D935" t="s">
        <v>42</v>
      </c>
      <c r="E935" s="1">
        <v>45253</v>
      </c>
      <c r="F935">
        <v>116</v>
      </c>
      <c r="G935">
        <v>3.9</v>
      </c>
      <c r="H935" t="str">
        <f>TEXT(calls[[#This Row],[Date of Call]],"DDDD")</f>
        <v>Thursday</v>
      </c>
      <c r="I935">
        <f>ROUND(calls[[#This Row],[Satisfaction Rating]],0)</f>
        <v>4</v>
      </c>
      <c r="N935" t="str" cm="1">
        <f t="array" ref="N935">_xlfn.IFS(_xlfn.SINGLE(calls[Duration])&lt;30,"UNDER 30 MINS",_xlfn.SINGLE(calls[Duration])&lt;60,"30 T0 60 MINS",_xlfn.SINGLE(calls[Duration])&lt;120,"1 TO 2 HRS",TRUE,"ABOVE 2 HRS")</f>
        <v>1 TO 2 HRS</v>
      </c>
    </row>
    <row r="936" spans="1:14" x14ac:dyDescent="0.3">
      <c r="A936" t="s">
        <v>970</v>
      </c>
      <c r="B936" t="s">
        <v>26</v>
      </c>
      <c r="C936">
        <v>78</v>
      </c>
      <c r="D936" t="s">
        <v>29</v>
      </c>
      <c r="E936" s="1">
        <v>45253</v>
      </c>
      <c r="F936">
        <v>140</v>
      </c>
      <c r="G936">
        <v>4</v>
      </c>
      <c r="H936" t="str">
        <f>TEXT(calls[[#This Row],[Date of Call]],"DDDD")</f>
        <v>Thursday</v>
      </c>
      <c r="I936">
        <f>ROUND(calls[[#This Row],[Satisfaction Rating]],0)</f>
        <v>4</v>
      </c>
      <c r="N936" t="str" cm="1">
        <f t="array" ref="N936">_xlfn.IFS(_xlfn.SINGLE(calls[Duration])&lt;30,"UNDER 30 MINS",_xlfn.SINGLE(calls[Duration])&lt;60,"30 T0 60 MINS",_xlfn.SINGLE(calls[Duration])&lt;120,"1 TO 2 HRS",TRUE,"ABOVE 2 HRS")</f>
        <v>1 TO 2 HRS</v>
      </c>
    </row>
    <row r="937" spans="1:14" x14ac:dyDescent="0.3">
      <c r="A937" t="s">
        <v>971</v>
      </c>
      <c r="B937" t="s">
        <v>26</v>
      </c>
      <c r="C937">
        <v>102</v>
      </c>
      <c r="D937" t="s">
        <v>23</v>
      </c>
      <c r="E937" s="1">
        <v>45254</v>
      </c>
      <c r="F937">
        <v>104</v>
      </c>
      <c r="G937">
        <v>4.5</v>
      </c>
      <c r="H937" t="str">
        <f>TEXT(calls[[#This Row],[Date of Call]],"DDDD")</f>
        <v>Friday</v>
      </c>
      <c r="I937">
        <f>ROUND(calls[[#This Row],[Satisfaction Rating]],0)</f>
        <v>5</v>
      </c>
      <c r="N937" t="str" cm="1">
        <f t="array" ref="N937">_xlfn.IFS(_xlfn.SINGLE(calls[Duration])&lt;30,"UNDER 30 MINS",_xlfn.SINGLE(calls[Duration])&lt;60,"30 T0 60 MINS",_xlfn.SINGLE(calls[Duration])&lt;120,"1 TO 2 HRS",TRUE,"ABOVE 2 HRS")</f>
        <v>1 TO 2 HRS</v>
      </c>
    </row>
    <row r="938" spans="1:14" x14ac:dyDescent="0.3">
      <c r="A938" t="s">
        <v>972</v>
      </c>
      <c r="B938" t="s">
        <v>33</v>
      </c>
      <c r="C938">
        <v>158</v>
      </c>
      <c r="D938" t="s">
        <v>36</v>
      </c>
      <c r="E938" s="1">
        <v>45254</v>
      </c>
      <c r="F938">
        <v>148</v>
      </c>
      <c r="G938">
        <v>4</v>
      </c>
      <c r="H938" t="str">
        <f>TEXT(calls[[#This Row],[Date of Call]],"DDDD")</f>
        <v>Friday</v>
      </c>
      <c r="I938">
        <f>ROUND(calls[[#This Row],[Satisfaction Rating]],0)</f>
        <v>4</v>
      </c>
      <c r="N938" t="str" cm="1">
        <f t="array" ref="N938">_xlfn.IFS(_xlfn.SINGLE(calls[Duration])&lt;30,"UNDER 30 MINS",_xlfn.SINGLE(calls[Duration])&lt;60,"30 T0 60 MINS",_xlfn.SINGLE(calls[Duration])&lt;120,"1 TO 2 HRS",TRUE,"ABOVE 2 HRS")</f>
        <v>ABOVE 2 HRS</v>
      </c>
    </row>
    <row r="939" spans="1:14" x14ac:dyDescent="0.3">
      <c r="A939" t="s">
        <v>973</v>
      </c>
      <c r="B939" t="s">
        <v>19</v>
      </c>
      <c r="C939">
        <v>56</v>
      </c>
      <c r="D939" t="s">
        <v>42</v>
      </c>
      <c r="E939" s="1">
        <v>45254</v>
      </c>
      <c r="F939">
        <v>205</v>
      </c>
      <c r="G939">
        <v>4.3</v>
      </c>
      <c r="H939" t="str">
        <f>TEXT(calls[[#This Row],[Date of Call]],"DDDD")</f>
        <v>Friday</v>
      </c>
      <c r="I939">
        <f>ROUND(calls[[#This Row],[Satisfaction Rating]],0)</f>
        <v>4</v>
      </c>
      <c r="N939" t="str" cm="1">
        <f t="array" ref="N939">_xlfn.IFS(_xlfn.SINGLE(calls[Duration])&lt;30,"UNDER 30 MINS",_xlfn.SINGLE(calls[Duration])&lt;60,"30 T0 60 MINS",_xlfn.SINGLE(calls[Duration])&lt;120,"1 TO 2 HRS",TRUE,"ABOVE 2 HRS")</f>
        <v>30 T0 60 MINS</v>
      </c>
    </row>
    <row r="940" spans="1:14" x14ac:dyDescent="0.3">
      <c r="A940" t="s">
        <v>974</v>
      </c>
      <c r="B940" t="s">
        <v>18</v>
      </c>
      <c r="C940">
        <v>17</v>
      </c>
      <c r="D940" t="s">
        <v>13</v>
      </c>
      <c r="E940" s="1">
        <v>45254</v>
      </c>
      <c r="F940">
        <v>210</v>
      </c>
      <c r="G940">
        <v>4.8</v>
      </c>
      <c r="H940" t="str">
        <f>TEXT(calls[[#This Row],[Date of Call]],"DDDD")</f>
        <v>Friday</v>
      </c>
      <c r="I940">
        <f>ROUND(calls[[#This Row],[Satisfaction Rating]],0)</f>
        <v>5</v>
      </c>
      <c r="N940" t="str" cm="1">
        <f t="array" ref="N940">_xlfn.IFS(_xlfn.SINGLE(calls[Duration])&lt;30,"UNDER 30 MINS",_xlfn.SINGLE(calls[Duration])&lt;60,"30 T0 60 MINS",_xlfn.SINGLE(calls[Duration])&lt;120,"1 TO 2 HRS",TRUE,"ABOVE 2 HRS")</f>
        <v>UNDER 30 MINS</v>
      </c>
    </row>
    <row r="941" spans="1:14" x14ac:dyDescent="0.3">
      <c r="A941" t="s">
        <v>975</v>
      </c>
      <c r="B941" t="s">
        <v>28</v>
      </c>
      <c r="C941">
        <v>104</v>
      </c>
      <c r="D941" t="s">
        <v>36</v>
      </c>
      <c r="E941" s="1">
        <v>45256</v>
      </c>
      <c r="F941">
        <v>41</v>
      </c>
      <c r="G941">
        <v>4.7</v>
      </c>
      <c r="H941" t="str">
        <f>TEXT(calls[[#This Row],[Date of Call]],"DDDD")</f>
        <v>Sunday</v>
      </c>
      <c r="I941">
        <f>ROUND(calls[[#This Row],[Satisfaction Rating]],0)</f>
        <v>5</v>
      </c>
      <c r="N941" t="str" cm="1">
        <f t="array" ref="N941">_xlfn.IFS(_xlfn.SINGLE(calls[Duration])&lt;30,"UNDER 30 MINS",_xlfn.SINGLE(calls[Duration])&lt;60,"30 T0 60 MINS",_xlfn.SINGLE(calls[Duration])&lt;120,"1 TO 2 HRS",TRUE,"ABOVE 2 HRS")</f>
        <v>1 TO 2 HRS</v>
      </c>
    </row>
    <row r="942" spans="1:14" x14ac:dyDescent="0.3">
      <c r="A942" t="s">
        <v>976</v>
      </c>
      <c r="B942" t="s">
        <v>50</v>
      </c>
      <c r="C942">
        <v>96</v>
      </c>
      <c r="D942" t="s">
        <v>29</v>
      </c>
      <c r="E942" s="1">
        <v>45256</v>
      </c>
      <c r="F942">
        <v>136</v>
      </c>
      <c r="G942">
        <v>5</v>
      </c>
      <c r="H942" t="str">
        <f>TEXT(calls[[#This Row],[Date of Call]],"DDDD")</f>
        <v>Sunday</v>
      </c>
      <c r="I942">
        <f>ROUND(calls[[#This Row],[Satisfaction Rating]],0)</f>
        <v>5</v>
      </c>
      <c r="N942" t="str" cm="1">
        <f t="array" ref="N942">_xlfn.IFS(_xlfn.SINGLE(calls[Duration])&lt;30,"UNDER 30 MINS",_xlfn.SINGLE(calls[Duration])&lt;60,"30 T0 60 MINS",_xlfn.SINGLE(calls[Duration])&lt;120,"1 TO 2 HRS",TRUE,"ABOVE 2 HRS")</f>
        <v>1 TO 2 HRS</v>
      </c>
    </row>
    <row r="943" spans="1:14" x14ac:dyDescent="0.3">
      <c r="A943" t="s">
        <v>977</v>
      </c>
      <c r="B943" t="s">
        <v>39</v>
      </c>
      <c r="C943">
        <v>83</v>
      </c>
      <c r="D943" t="s">
        <v>23</v>
      </c>
      <c r="E943" s="1">
        <v>45257</v>
      </c>
      <c r="F943">
        <v>126</v>
      </c>
      <c r="G943">
        <v>1.5</v>
      </c>
      <c r="H943" t="str">
        <f>TEXT(calls[[#This Row],[Date of Call]],"DDDD")</f>
        <v>Monday</v>
      </c>
      <c r="I943">
        <f>ROUND(calls[[#This Row],[Satisfaction Rating]],0)</f>
        <v>2</v>
      </c>
      <c r="N943" t="str" cm="1">
        <f t="array" ref="N943">_xlfn.IFS(_xlfn.SINGLE(calls[Duration])&lt;30,"UNDER 30 MINS",_xlfn.SINGLE(calls[Duration])&lt;60,"30 T0 60 MINS",_xlfn.SINGLE(calls[Duration])&lt;120,"1 TO 2 HRS",TRUE,"ABOVE 2 HRS")</f>
        <v>1 TO 2 HRS</v>
      </c>
    </row>
    <row r="944" spans="1:14" x14ac:dyDescent="0.3">
      <c r="A944" t="s">
        <v>978</v>
      </c>
      <c r="B944" t="s">
        <v>22</v>
      </c>
      <c r="C944">
        <v>80</v>
      </c>
      <c r="D944" t="s">
        <v>13</v>
      </c>
      <c r="E944" s="1">
        <v>45258</v>
      </c>
      <c r="F944">
        <v>148</v>
      </c>
      <c r="G944">
        <v>4.0999999999999996</v>
      </c>
      <c r="H944" t="str">
        <f>TEXT(calls[[#This Row],[Date of Call]],"DDDD")</f>
        <v>Tuesday</v>
      </c>
      <c r="I944">
        <f>ROUND(calls[[#This Row],[Satisfaction Rating]],0)</f>
        <v>4</v>
      </c>
      <c r="N944" t="str" cm="1">
        <f t="array" ref="N944">_xlfn.IFS(_xlfn.SINGLE(calls[Duration])&lt;30,"UNDER 30 MINS",_xlfn.SINGLE(calls[Duration])&lt;60,"30 T0 60 MINS",_xlfn.SINGLE(calls[Duration])&lt;120,"1 TO 2 HRS",TRUE,"ABOVE 2 HRS")</f>
        <v>1 TO 2 HRS</v>
      </c>
    </row>
    <row r="945" spans="1:14" x14ac:dyDescent="0.3">
      <c r="A945" t="s">
        <v>979</v>
      </c>
      <c r="B945" t="s">
        <v>39</v>
      </c>
      <c r="C945">
        <v>152</v>
      </c>
      <c r="D945" t="s">
        <v>23</v>
      </c>
      <c r="E945" s="1">
        <v>45258</v>
      </c>
      <c r="F945">
        <v>125</v>
      </c>
      <c r="G945">
        <v>3.9</v>
      </c>
      <c r="H945" t="str">
        <f>TEXT(calls[[#This Row],[Date of Call]],"DDDD")</f>
        <v>Tuesday</v>
      </c>
      <c r="I945">
        <f>ROUND(calls[[#This Row],[Satisfaction Rating]],0)</f>
        <v>4</v>
      </c>
      <c r="N945" t="str" cm="1">
        <f t="array" ref="N945">_xlfn.IFS(_xlfn.SINGLE(calls[Duration])&lt;30,"UNDER 30 MINS",_xlfn.SINGLE(calls[Duration])&lt;60,"30 T0 60 MINS",_xlfn.SINGLE(calls[Duration])&lt;120,"1 TO 2 HRS",TRUE,"ABOVE 2 HRS")</f>
        <v>ABOVE 2 HRS</v>
      </c>
    </row>
    <row r="946" spans="1:14" x14ac:dyDescent="0.3">
      <c r="A946" t="s">
        <v>980</v>
      </c>
      <c r="B946" t="s">
        <v>41</v>
      </c>
      <c r="C946">
        <v>34</v>
      </c>
      <c r="D946" t="s">
        <v>29</v>
      </c>
      <c r="E946" s="1">
        <v>45258</v>
      </c>
      <c r="F946">
        <v>25</v>
      </c>
      <c r="G946">
        <v>4.0999999999999996</v>
      </c>
      <c r="H946" t="str">
        <f>TEXT(calls[[#This Row],[Date of Call]],"DDDD")</f>
        <v>Tuesday</v>
      </c>
      <c r="I946">
        <f>ROUND(calls[[#This Row],[Satisfaction Rating]],0)</f>
        <v>4</v>
      </c>
      <c r="N946" t="str" cm="1">
        <f t="array" ref="N946">_xlfn.IFS(_xlfn.SINGLE(calls[Duration])&lt;30,"UNDER 30 MINS",_xlfn.SINGLE(calls[Duration])&lt;60,"30 T0 60 MINS",_xlfn.SINGLE(calls[Duration])&lt;120,"1 TO 2 HRS",TRUE,"ABOVE 2 HRS")</f>
        <v>30 T0 60 MINS</v>
      </c>
    </row>
    <row r="947" spans="1:14" x14ac:dyDescent="0.3">
      <c r="A947" t="s">
        <v>981</v>
      </c>
      <c r="B947" t="s">
        <v>45</v>
      </c>
      <c r="C947">
        <v>2</v>
      </c>
      <c r="D947" t="s">
        <v>42</v>
      </c>
      <c r="E947" s="1">
        <v>45259</v>
      </c>
      <c r="F947">
        <v>62</v>
      </c>
      <c r="G947">
        <v>2.8</v>
      </c>
      <c r="H947" t="str">
        <f>TEXT(calls[[#This Row],[Date of Call]],"DDDD")</f>
        <v>Wednesday</v>
      </c>
      <c r="I947">
        <f>ROUND(calls[[#This Row],[Satisfaction Rating]],0)</f>
        <v>3</v>
      </c>
      <c r="N947" t="str" cm="1">
        <f t="array" ref="N947">_xlfn.IFS(_xlfn.SINGLE(calls[Duration])&lt;30,"UNDER 30 MINS",_xlfn.SINGLE(calls[Duration])&lt;60,"30 T0 60 MINS",_xlfn.SINGLE(calls[Duration])&lt;120,"1 TO 2 HRS",TRUE,"ABOVE 2 HRS")</f>
        <v>UNDER 30 MINS</v>
      </c>
    </row>
    <row r="948" spans="1:14" x14ac:dyDescent="0.3">
      <c r="A948" t="s">
        <v>982</v>
      </c>
      <c r="B948" t="s">
        <v>22</v>
      </c>
      <c r="C948">
        <v>140</v>
      </c>
      <c r="D948" t="s">
        <v>29</v>
      </c>
      <c r="E948" s="1">
        <v>45260</v>
      </c>
      <c r="F948">
        <v>90</v>
      </c>
      <c r="G948">
        <v>4.5999999999999996</v>
      </c>
      <c r="H948" t="str">
        <f>TEXT(calls[[#This Row],[Date of Call]],"DDDD")</f>
        <v>Thursday</v>
      </c>
      <c r="I948">
        <f>ROUND(calls[[#This Row],[Satisfaction Rating]],0)</f>
        <v>5</v>
      </c>
      <c r="N948" t="str" cm="1">
        <f t="array" ref="N948">_xlfn.IFS(_xlfn.SINGLE(calls[Duration])&lt;30,"UNDER 30 MINS",_xlfn.SINGLE(calls[Duration])&lt;60,"30 T0 60 MINS",_xlfn.SINGLE(calls[Duration])&lt;120,"1 TO 2 HRS",TRUE,"ABOVE 2 HRS")</f>
        <v>ABOVE 2 HRS</v>
      </c>
    </row>
    <row r="949" spans="1:14" x14ac:dyDescent="0.3">
      <c r="A949" t="s">
        <v>983</v>
      </c>
      <c r="B949" t="s">
        <v>18</v>
      </c>
      <c r="C949">
        <v>126</v>
      </c>
      <c r="D949" t="s">
        <v>36</v>
      </c>
      <c r="E949" s="1">
        <v>45261</v>
      </c>
      <c r="F949">
        <v>33</v>
      </c>
      <c r="G949">
        <v>4.8</v>
      </c>
      <c r="H949" t="str">
        <f>TEXT(calls[[#This Row],[Date of Call]],"DDDD")</f>
        <v>Friday</v>
      </c>
      <c r="I949">
        <f>ROUND(calls[[#This Row],[Satisfaction Rating]],0)</f>
        <v>5</v>
      </c>
      <c r="N949" t="str" cm="1">
        <f t="array" ref="N949">_xlfn.IFS(_xlfn.SINGLE(calls[Duration])&lt;30,"UNDER 30 MINS",_xlfn.SINGLE(calls[Duration])&lt;60,"30 T0 60 MINS",_xlfn.SINGLE(calls[Duration])&lt;120,"1 TO 2 HRS",TRUE,"ABOVE 2 HRS")</f>
        <v>ABOVE 2 HRS</v>
      </c>
    </row>
    <row r="950" spans="1:14" x14ac:dyDescent="0.3">
      <c r="A950" t="s">
        <v>984</v>
      </c>
      <c r="B950" t="s">
        <v>26</v>
      </c>
      <c r="C950">
        <v>79</v>
      </c>
      <c r="D950" t="s">
        <v>42</v>
      </c>
      <c r="E950" s="1">
        <v>45261</v>
      </c>
      <c r="F950">
        <v>115</v>
      </c>
      <c r="G950">
        <v>2.2999999999999998</v>
      </c>
      <c r="H950" t="str">
        <f>TEXT(calls[[#This Row],[Date of Call]],"DDDD")</f>
        <v>Friday</v>
      </c>
      <c r="I950">
        <f>ROUND(calls[[#This Row],[Satisfaction Rating]],0)</f>
        <v>2</v>
      </c>
      <c r="N950" t="str" cm="1">
        <f t="array" ref="N950">_xlfn.IFS(_xlfn.SINGLE(calls[Duration])&lt;30,"UNDER 30 MINS",_xlfn.SINGLE(calls[Duration])&lt;60,"30 T0 60 MINS",_xlfn.SINGLE(calls[Duration])&lt;120,"1 TO 2 HRS",TRUE,"ABOVE 2 HRS")</f>
        <v>1 TO 2 HRS</v>
      </c>
    </row>
    <row r="951" spans="1:14" x14ac:dyDescent="0.3">
      <c r="A951" t="s">
        <v>985</v>
      </c>
      <c r="B951" t="s">
        <v>18</v>
      </c>
      <c r="C951">
        <v>133</v>
      </c>
      <c r="D951" t="s">
        <v>36</v>
      </c>
      <c r="E951" s="1">
        <v>45261</v>
      </c>
      <c r="F951">
        <v>45</v>
      </c>
      <c r="G951">
        <v>2.6</v>
      </c>
      <c r="H951" t="str">
        <f>TEXT(calls[[#This Row],[Date of Call]],"DDDD")</f>
        <v>Friday</v>
      </c>
      <c r="I951">
        <f>ROUND(calls[[#This Row],[Satisfaction Rating]],0)</f>
        <v>3</v>
      </c>
      <c r="N951" t="str" cm="1">
        <f t="array" ref="N951">_xlfn.IFS(_xlfn.SINGLE(calls[Duration])&lt;30,"UNDER 30 MINS",_xlfn.SINGLE(calls[Duration])&lt;60,"30 T0 60 MINS",_xlfn.SINGLE(calls[Duration])&lt;120,"1 TO 2 HRS",TRUE,"ABOVE 2 HRS")</f>
        <v>ABOVE 2 HRS</v>
      </c>
    </row>
    <row r="952" spans="1:14" x14ac:dyDescent="0.3">
      <c r="A952" t="s">
        <v>986</v>
      </c>
      <c r="B952" t="s">
        <v>41</v>
      </c>
      <c r="C952">
        <v>97</v>
      </c>
      <c r="D952" t="s">
        <v>13</v>
      </c>
      <c r="E952" s="1">
        <v>45261</v>
      </c>
      <c r="F952">
        <v>114</v>
      </c>
      <c r="G952">
        <v>4.8</v>
      </c>
      <c r="H952" t="str">
        <f>TEXT(calls[[#This Row],[Date of Call]],"DDDD")</f>
        <v>Friday</v>
      </c>
      <c r="I952">
        <f>ROUND(calls[[#This Row],[Satisfaction Rating]],0)</f>
        <v>5</v>
      </c>
      <c r="N952" t="str" cm="1">
        <f t="array" ref="N952">_xlfn.IFS(_xlfn.SINGLE(calls[Duration])&lt;30,"UNDER 30 MINS",_xlfn.SINGLE(calls[Duration])&lt;60,"30 T0 60 MINS",_xlfn.SINGLE(calls[Duration])&lt;120,"1 TO 2 HRS",TRUE,"ABOVE 2 HRS")</f>
        <v>1 TO 2 HRS</v>
      </c>
    </row>
    <row r="953" spans="1:14" x14ac:dyDescent="0.3">
      <c r="A953" t="s">
        <v>987</v>
      </c>
      <c r="B953" t="s">
        <v>26</v>
      </c>
      <c r="C953">
        <v>102</v>
      </c>
      <c r="D953" t="s">
        <v>23</v>
      </c>
      <c r="E953" s="1">
        <v>45262</v>
      </c>
      <c r="F953">
        <v>72</v>
      </c>
      <c r="G953">
        <v>3.7</v>
      </c>
      <c r="H953" t="str">
        <f>TEXT(calls[[#This Row],[Date of Call]],"DDDD")</f>
        <v>Saturday</v>
      </c>
      <c r="I953">
        <f>ROUND(calls[[#This Row],[Satisfaction Rating]],0)</f>
        <v>4</v>
      </c>
      <c r="N953" t="str" cm="1">
        <f t="array" ref="N953">_xlfn.IFS(_xlfn.SINGLE(calls[Duration])&lt;30,"UNDER 30 MINS",_xlfn.SINGLE(calls[Duration])&lt;60,"30 T0 60 MINS",_xlfn.SINGLE(calls[Duration])&lt;120,"1 TO 2 HRS",TRUE,"ABOVE 2 HRS")</f>
        <v>1 TO 2 HRS</v>
      </c>
    </row>
    <row r="954" spans="1:14" x14ac:dyDescent="0.3">
      <c r="A954" t="s">
        <v>988</v>
      </c>
      <c r="B954" t="s">
        <v>31</v>
      </c>
      <c r="C954">
        <v>62</v>
      </c>
      <c r="D954" t="s">
        <v>13</v>
      </c>
      <c r="E954" s="1">
        <v>45262</v>
      </c>
      <c r="F954">
        <v>205</v>
      </c>
      <c r="G954">
        <v>4.2</v>
      </c>
      <c r="H954" t="str">
        <f>TEXT(calls[[#This Row],[Date of Call]],"DDDD")</f>
        <v>Saturday</v>
      </c>
      <c r="I954">
        <f>ROUND(calls[[#This Row],[Satisfaction Rating]],0)</f>
        <v>4</v>
      </c>
      <c r="N954" t="str" cm="1">
        <f t="array" ref="N954">_xlfn.IFS(_xlfn.SINGLE(calls[Duration])&lt;30,"UNDER 30 MINS",_xlfn.SINGLE(calls[Duration])&lt;60,"30 T0 60 MINS",_xlfn.SINGLE(calls[Duration])&lt;120,"1 TO 2 HRS",TRUE,"ABOVE 2 HRS")</f>
        <v>1 TO 2 HRS</v>
      </c>
    </row>
    <row r="955" spans="1:14" x14ac:dyDescent="0.3">
      <c r="A955" t="s">
        <v>989</v>
      </c>
      <c r="B955" t="s">
        <v>18</v>
      </c>
      <c r="C955">
        <v>149</v>
      </c>
      <c r="D955" t="s">
        <v>23</v>
      </c>
      <c r="E955" s="1">
        <v>45263</v>
      </c>
      <c r="F955">
        <v>42</v>
      </c>
      <c r="G955">
        <v>3.3</v>
      </c>
      <c r="H955" t="str">
        <f>TEXT(calls[[#This Row],[Date of Call]],"DDDD")</f>
        <v>Sunday</v>
      </c>
      <c r="I955">
        <f>ROUND(calls[[#This Row],[Satisfaction Rating]],0)</f>
        <v>3</v>
      </c>
      <c r="N955" t="str" cm="1">
        <f t="array" ref="N955">_xlfn.IFS(_xlfn.SINGLE(calls[Duration])&lt;30,"UNDER 30 MINS",_xlfn.SINGLE(calls[Duration])&lt;60,"30 T0 60 MINS",_xlfn.SINGLE(calls[Duration])&lt;120,"1 TO 2 HRS",TRUE,"ABOVE 2 HRS")</f>
        <v>ABOVE 2 HRS</v>
      </c>
    </row>
    <row r="956" spans="1:14" x14ac:dyDescent="0.3">
      <c r="A956" t="s">
        <v>990</v>
      </c>
      <c r="B956" t="s">
        <v>45</v>
      </c>
      <c r="C956">
        <v>133</v>
      </c>
      <c r="D956" t="s">
        <v>13</v>
      </c>
      <c r="E956" s="1">
        <v>45263</v>
      </c>
      <c r="F956">
        <v>96</v>
      </c>
      <c r="G956">
        <v>4.3</v>
      </c>
      <c r="H956" t="str">
        <f>TEXT(calls[[#This Row],[Date of Call]],"DDDD")</f>
        <v>Sunday</v>
      </c>
      <c r="I956">
        <f>ROUND(calls[[#This Row],[Satisfaction Rating]],0)</f>
        <v>4</v>
      </c>
      <c r="N956" t="str" cm="1">
        <f t="array" ref="N956">_xlfn.IFS(_xlfn.SINGLE(calls[Duration])&lt;30,"UNDER 30 MINS",_xlfn.SINGLE(calls[Duration])&lt;60,"30 T0 60 MINS",_xlfn.SINGLE(calls[Duration])&lt;120,"1 TO 2 HRS",TRUE,"ABOVE 2 HRS")</f>
        <v>ABOVE 2 HRS</v>
      </c>
    </row>
    <row r="957" spans="1:14" x14ac:dyDescent="0.3">
      <c r="A957" t="s">
        <v>991</v>
      </c>
      <c r="B957" t="s">
        <v>26</v>
      </c>
      <c r="C957">
        <v>51</v>
      </c>
      <c r="D957" t="s">
        <v>42</v>
      </c>
      <c r="E957" s="1">
        <v>45263</v>
      </c>
      <c r="F957">
        <v>64</v>
      </c>
      <c r="G957">
        <v>3.7</v>
      </c>
      <c r="H957" t="str">
        <f>TEXT(calls[[#This Row],[Date of Call]],"DDDD")</f>
        <v>Sunday</v>
      </c>
      <c r="I957">
        <f>ROUND(calls[[#This Row],[Satisfaction Rating]],0)</f>
        <v>4</v>
      </c>
      <c r="N957" t="str" cm="1">
        <f t="array" ref="N957">_xlfn.IFS(_xlfn.SINGLE(calls[Duration])&lt;30,"UNDER 30 MINS",_xlfn.SINGLE(calls[Duration])&lt;60,"30 T0 60 MINS",_xlfn.SINGLE(calls[Duration])&lt;120,"1 TO 2 HRS",TRUE,"ABOVE 2 HRS")</f>
        <v>30 T0 60 MINS</v>
      </c>
    </row>
    <row r="958" spans="1:14" x14ac:dyDescent="0.3">
      <c r="A958" t="s">
        <v>992</v>
      </c>
      <c r="B958" t="s">
        <v>31</v>
      </c>
      <c r="C958">
        <v>110</v>
      </c>
      <c r="D958" t="s">
        <v>13</v>
      </c>
      <c r="E958" s="1">
        <v>45264</v>
      </c>
      <c r="F958">
        <v>72</v>
      </c>
      <c r="G958">
        <v>3.7</v>
      </c>
      <c r="H958" t="str">
        <f>TEXT(calls[[#This Row],[Date of Call]],"DDDD")</f>
        <v>Monday</v>
      </c>
      <c r="I958">
        <f>ROUND(calls[[#This Row],[Satisfaction Rating]],0)</f>
        <v>4</v>
      </c>
      <c r="N958" t="str" cm="1">
        <f t="array" ref="N958">_xlfn.IFS(_xlfn.SINGLE(calls[Duration])&lt;30,"UNDER 30 MINS",_xlfn.SINGLE(calls[Duration])&lt;60,"30 T0 60 MINS",_xlfn.SINGLE(calls[Duration])&lt;120,"1 TO 2 HRS",TRUE,"ABOVE 2 HRS")</f>
        <v>1 TO 2 HRS</v>
      </c>
    </row>
    <row r="959" spans="1:14" x14ac:dyDescent="0.3">
      <c r="A959" t="s">
        <v>993</v>
      </c>
      <c r="B959" t="s">
        <v>41</v>
      </c>
      <c r="C959">
        <v>38</v>
      </c>
      <c r="D959" t="s">
        <v>36</v>
      </c>
      <c r="E959" s="1">
        <v>45265</v>
      </c>
      <c r="F959">
        <v>27</v>
      </c>
      <c r="G959">
        <v>3.1</v>
      </c>
      <c r="H959" t="str">
        <f>TEXT(calls[[#This Row],[Date of Call]],"DDDD")</f>
        <v>Tuesday</v>
      </c>
      <c r="I959">
        <f>ROUND(calls[[#This Row],[Satisfaction Rating]],0)</f>
        <v>3</v>
      </c>
      <c r="N959" t="str" cm="1">
        <f t="array" ref="N959">_xlfn.IFS(_xlfn.SINGLE(calls[Duration])&lt;30,"UNDER 30 MINS",_xlfn.SINGLE(calls[Duration])&lt;60,"30 T0 60 MINS",_xlfn.SINGLE(calls[Duration])&lt;120,"1 TO 2 HRS",TRUE,"ABOVE 2 HRS")</f>
        <v>30 T0 60 MINS</v>
      </c>
    </row>
    <row r="960" spans="1:14" x14ac:dyDescent="0.3">
      <c r="A960" t="s">
        <v>994</v>
      </c>
      <c r="B960" t="s">
        <v>45</v>
      </c>
      <c r="C960">
        <v>78</v>
      </c>
      <c r="D960" t="s">
        <v>36</v>
      </c>
      <c r="E960" s="1">
        <v>45267</v>
      </c>
      <c r="F960">
        <v>200</v>
      </c>
      <c r="G960">
        <v>2.4</v>
      </c>
      <c r="H960" t="str">
        <f>TEXT(calls[[#This Row],[Date of Call]],"DDDD")</f>
        <v>Thursday</v>
      </c>
      <c r="I960">
        <f>ROUND(calls[[#This Row],[Satisfaction Rating]],0)</f>
        <v>2</v>
      </c>
      <c r="N960" t="str" cm="1">
        <f t="array" ref="N960">_xlfn.IFS(_xlfn.SINGLE(calls[Duration])&lt;30,"UNDER 30 MINS",_xlfn.SINGLE(calls[Duration])&lt;60,"30 T0 60 MINS",_xlfn.SINGLE(calls[Duration])&lt;120,"1 TO 2 HRS",TRUE,"ABOVE 2 HRS")</f>
        <v>1 TO 2 HRS</v>
      </c>
    </row>
    <row r="961" spans="1:14" x14ac:dyDescent="0.3">
      <c r="A961" t="s">
        <v>995</v>
      </c>
      <c r="B961" t="s">
        <v>41</v>
      </c>
      <c r="C961">
        <v>25</v>
      </c>
      <c r="D961" t="s">
        <v>23</v>
      </c>
      <c r="E961" s="1">
        <v>45268</v>
      </c>
      <c r="F961">
        <v>93</v>
      </c>
      <c r="G961">
        <v>3.5</v>
      </c>
      <c r="H961" t="str">
        <f>TEXT(calls[[#This Row],[Date of Call]],"DDDD")</f>
        <v>Friday</v>
      </c>
      <c r="I961">
        <f>ROUND(calls[[#This Row],[Satisfaction Rating]],0)</f>
        <v>4</v>
      </c>
      <c r="N961" t="str" cm="1">
        <f t="array" ref="N961">_xlfn.IFS(_xlfn.SINGLE(calls[Duration])&lt;30,"UNDER 30 MINS",_xlfn.SINGLE(calls[Duration])&lt;60,"30 T0 60 MINS",_xlfn.SINGLE(calls[Duration])&lt;120,"1 TO 2 HRS",TRUE,"ABOVE 2 HRS")</f>
        <v>UNDER 30 MINS</v>
      </c>
    </row>
    <row r="962" spans="1:14" x14ac:dyDescent="0.3">
      <c r="A962" t="s">
        <v>996</v>
      </c>
      <c r="B962" t="s">
        <v>46</v>
      </c>
      <c r="C962">
        <v>50</v>
      </c>
      <c r="D962" t="s">
        <v>42</v>
      </c>
      <c r="E962" s="1">
        <v>45268</v>
      </c>
      <c r="F962">
        <v>54</v>
      </c>
      <c r="G962">
        <v>4.3</v>
      </c>
      <c r="H962" t="str">
        <f>TEXT(calls[[#This Row],[Date of Call]],"DDDD")</f>
        <v>Friday</v>
      </c>
      <c r="I962">
        <f>ROUND(calls[[#This Row],[Satisfaction Rating]],0)</f>
        <v>4</v>
      </c>
      <c r="N962" t="str" cm="1">
        <f t="array" ref="N962">_xlfn.IFS(_xlfn.SINGLE(calls[Duration])&lt;30,"UNDER 30 MINS",_xlfn.SINGLE(calls[Duration])&lt;60,"30 T0 60 MINS",_xlfn.SINGLE(calls[Duration])&lt;120,"1 TO 2 HRS",TRUE,"ABOVE 2 HRS")</f>
        <v>30 T0 60 MINS</v>
      </c>
    </row>
    <row r="963" spans="1:14" x14ac:dyDescent="0.3">
      <c r="A963" t="s">
        <v>997</v>
      </c>
      <c r="B963" t="s">
        <v>41</v>
      </c>
      <c r="C963">
        <v>103</v>
      </c>
      <c r="D963" t="s">
        <v>23</v>
      </c>
      <c r="E963" s="1">
        <v>45269</v>
      </c>
      <c r="F963">
        <v>72</v>
      </c>
      <c r="G963">
        <v>3.4</v>
      </c>
      <c r="H963" t="str">
        <f>TEXT(calls[[#This Row],[Date of Call]],"DDDD")</f>
        <v>Saturday</v>
      </c>
      <c r="I963">
        <f>ROUND(calls[[#This Row],[Satisfaction Rating]],0)</f>
        <v>3</v>
      </c>
      <c r="N963" t="str" cm="1">
        <f t="array" ref="N963">_xlfn.IFS(_xlfn.SINGLE(calls[Duration])&lt;30,"UNDER 30 MINS",_xlfn.SINGLE(calls[Duration])&lt;60,"30 T0 60 MINS",_xlfn.SINGLE(calls[Duration])&lt;120,"1 TO 2 HRS",TRUE,"ABOVE 2 HRS")</f>
        <v>1 TO 2 HRS</v>
      </c>
    </row>
    <row r="964" spans="1:14" x14ac:dyDescent="0.3">
      <c r="A964" t="s">
        <v>998</v>
      </c>
      <c r="B964" t="s">
        <v>39</v>
      </c>
      <c r="C964">
        <v>63</v>
      </c>
      <c r="D964" t="s">
        <v>29</v>
      </c>
      <c r="E964" s="1">
        <v>45269</v>
      </c>
      <c r="F964">
        <v>82</v>
      </c>
      <c r="G964">
        <v>3.7</v>
      </c>
      <c r="H964" t="str">
        <f>TEXT(calls[[#This Row],[Date of Call]],"DDDD")</f>
        <v>Saturday</v>
      </c>
      <c r="I964">
        <f>ROUND(calls[[#This Row],[Satisfaction Rating]],0)</f>
        <v>4</v>
      </c>
      <c r="N964" t="str" cm="1">
        <f t="array" ref="N964">_xlfn.IFS(_xlfn.SINGLE(calls[Duration])&lt;30,"UNDER 30 MINS",_xlfn.SINGLE(calls[Duration])&lt;60,"30 T0 60 MINS",_xlfn.SINGLE(calls[Duration])&lt;120,"1 TO 2 HRS",TRUE,"ABOVE 2 HRS")</f>
        <v>1 TO 2 HRS</v>
      </c>
    </row>
    <row r="965" spans="1:14" x14ac:dyDescent="0.3">
      <c r="A965" t="s">
        <v>999</v>
      </c>
      <c r="B965" t="s">
        <v>46</v>
      </c>
      <c r="C965">
        <v>96</v>
      </c>
      <c r="D965" t="s">
        <v>42</v>
      </c>
      <c r="E965" s="1">
        <v>45273</v>
      </c>
      <c r="F965">
        <v>164</v>
      </c>
      <c r="G965">
        <v>4.8</v>
      </c>
      <c r="H965" t="str">
        <f>TEXT(calls[[#This Row],[Date of Call]],"DDDD")</f>
        <v>Wednesday</v>
      </c>
      <c r="I965">
        <f>ROUND(calls[[#This Row],[Satisfaction Rating]],0)</f>
        <v>5</v>
      </c>
      <c r="N965" t="str" cm="1">
        <f t="array" ref="N965">_xlfn.IFS(_xlfn.SINGLE(calls[Duration])&lt;30,"UNDER 30 MINS",_xlfn.SINGLE(calls[Duration])&lt;60,"30 T0 60 MINS",_xlfn.SINGLE(calls[Duration])&lt;120,"1 TO 2 HRS",TRUE,"ABOVE 2 HRS")</f>
        <v>1 TO 2 HRS</v>
      </c>
    </row>
    <row r="966" spans="1:14" x14ac:dyDescent="0.3">
      <c r="A966" t="s">
        <v>1000</v>
      </c>
      <c r="B966" t="s">
        <v>22</v>
      </c>
      <c r="C966">
        <v>94</v>
      </c>
      <c r="D966" t="s">
        <v>23</v>
      </c>
      <c r="E966" s="1">
        <v>45273</v>
      </c>
      <c r="F966">
        <v>78</v>
      </c>
      <c r="G966">
        <v>3.3</v>
      </c>
      <c r="H966" t="str">
        <f>TEXT(calls[[#This Row],[Date of Call]],"DDDD")</f>
        <v>Wednesday</v>
      </c>
      <c r="I966">
        <f>ROUND(calls[[#This Row],[Satisfaction Rating]],0)</f>
        <v>3</v>
      </c>
      <c r="N966" t="str" cm="1">
        <f t="array" ref="N966">_xlfn.IFS(_xlfn.SINGLE(calls[Duration])&lt;30,"UNDER 30 MINS",_xlfn.SINGLE(calls[Duration])&lt;60,"30 T0 60 MINS",_xlfn.SINGLE(calls[Duration])&lt;120,"1 TO 2 HRS",TRUE,"ABOVE 2 HRS")</f>
        <v>1 TO 2 HRS</v>
      </c>
    </row>
    <row r="967" spans="1:14" x14ac:dyDescent="0.3">
      <c r="A967" t="s">
        <v>1001</v>
      </c>
      <c r="B967" t="s">
        <v>31</v>
      </c>
      <c r="C967">
        <v>46</v>
      </c>
      <c r="D967" t="s">
        <v>36</v>
      </c>
      <c r="E967" s="1">
        <v>45274</v>
      </c>
      <c r="F967">
        <v>135</v>
      </c>
      <c r="G967">
        <v>4.2</v>
      </c>
      <c r="H967" t="str">
        <f>TEXT(calls[[#This Row],[Date of Call]],"DDDD")</f>
        <v>Thursday</v>
      </c>
      <c r="I967">
        <f>ROUND(calls[[#This Row],[Satisfaction Rating]],0)</f>
        <v>4</v>
      </c>
      <c r="N967" t="str" cm="1">
        <f t="array" ref="N967">_xlfn.IFS(_xlfn.SINGLE(calls[Duration])&lt;30,"UNDER 30 MINS",_xlfn.SINGLE(calls[Duration])&lt;60,"30 T0 60 MINS",_xlfn.SINGLE(calls[Duration])&lt;120,"1 TO 2 HRS",TRUE,"ABOVE 2 HRS")</f>
        <v>30 T0 60 MINS</v>
      </c>
    </row>
    <row r="968" spans="1:14" x14ac:dyDescent="0.3">
      <c r="A968" t="s">
        <v>1002</v>
      </c>
      <c r="B968" t="s">
        <v>37</v>
      </c>
      <c r="C968">
        <v>127</v>
      </c>
      <c r="D968" t="s">
        <v>42</v>
      </c>
      <c r="E968" s="1">
        <v>45275</v>
      </c>
      <c r="F968">
        <v>145</v>
      </c>
      <c r="G968">
        <v>2.6</v>
      </c>
      <c r="H968" t="str">
        <f>TEXT(calls[[#This Row],[Date of Call]],"DDDD")</f>
        <v>Friday</v>
      </c>
      <c r="I968">
        <f>ROUND(calls[[#This Row],[Satisfaction Rating]],0)</f>
        <v>3</v>
      </c>
      <c r="N968" t="str" cm="1">
        <f t="array" ref="N968">_xlfn.IFS(_xlfn.SINGLE(calls[Duration])&lt;30,"UNDER 30 MINS",_xlfn.SINGLE(calls[Duration])&lt;60,"30 T0 60 MINS",_xlfn.SINGLE(calls[Duration])&lt;120,"1 TO 2 HRS",TRUE,"ABOVE 2 HRS")</f>
        <v>ABOVE 2 HRS</v>
      </c>
    </row>
    <row r="969" spans="1:14" x14ac:dyDescent="0.3">
      <c r="A969" t="s">
        <v>1003</v>
      </c>
      <c r="B969" t="s">
        <v>33</v>
      </c>
      <c r="C969">
        <v>96</v>
      </c>
      <c r="D969" t="s">
        <v>36</v>
      </c>
      <c r="E969" s="1">
        <v>45275</v>
      </c>
      <c r="F969">
        <v>115</v>
      </c>
      <c r="G969">
        <v>4.9000000000000004</v>
      </c>
      <c r="H969" t="str">
        <f>TEXT(calls[[#This Row],[Date of Call]],"DDDD")</f>
        <v>Friday</v>
      </c>
      <c r="I969">
        <f>ROUND(calls[[#This Row],[Satisfaction Rating]],0)</f>
        <v>5</v>
      </c>
      <c r="N969" t="str" cm="1">
        <f t="array" ref="N969">_xlfn.IFS(_xlfn.SINGLE(calls[Duration])&lt;30,"UNDER 30 MINS",_xlfn.SINGLE(calls[Duration])&lt;60,"30 T0 60 MINS",_xlfn.SINGLE(calls[Duration])&lt;120,"1 TO 2 HRS",TRUE,"ABOVE 2 HRS")</f>
        <v>1 TO 2 HRS</v>
      </c>
    </row>
    <row r="970" spans="1:14" x14ac:dyDescent="0.3">
      <c r="A970" t="s">
        <v>1004</v>
      </c>
      <c r="B970" t="s">
        <v>14</v>
      </c>
      <c r="C970">
        <v>151</v>
      </c>
      <c r="D970" t="s">
        <v>23</v>
      </c>
      <c r="E970" s="1">
        <v>45275</v>
      </c>
      <c r="F970">
        <v>117</v>
      </c>
      <c r="G970">
        <v>2</v>
      </c>
      <c r="H970" t="str">
        <f>TEXT(calls[[#This Row],[Date of Call]],"DDDD")</f>
        <v>Friday</v>
      </c>
      <c r="I970">
        <f>ROUND(calls[[#This Row],[Satisfaction Rating]],0)</f>
        <v>2</v>
      </c>
      <c r="N970" t="str" cm="1">
        <f t="array" ref="N970">_xlfn.IFS(_xlfn.SINGLE(calls[Duration])&lt;30,"UNDER 30 MINS",_xlfn.SINGLE(calls[Duration])&lt;60,"30 T0 60 MINS",_xlfn.SINGLE(calls[Duration])&lt;120,"1 TO 2 HRS",TRUE,"ABOVE 2 HRS")</f>
        <v>ABOVE 2 HRS</v>
      </c>
    </row>
    <row r="971" spans="1:14" x14ac:dyDescent="0.3">
      <c r="A971" t="s">
        <v>1005</v>
      </c>
      <c r="B971" t="s">
        <v>37</v>
      </c>
      <c r="C971">
        <v>158</v>
      </c>
      <c r="D971" t="s">
        <v>13</v>
      </c>
      <c r="E971" s="1">
        <v>45276</v>
      </c>
      <c r="F971">
        <v>36</v>
      </c>
      <c r="G971">
        <v>4.7</v>
      </c>
      <c r="H971" t="str">
        <f>TEXT(calls[[#This Row],[Date of Call]],"DDDD")</f>
        <v>Saturday</v>
      </c>
      <c r="I971">
        <f>ROUND(calls[[#This Row],[Satisfaction Rating]],0)</f>
        <v>5</v>
      </c>
      <c r="N971" t="str" cm="1">
        <f t="array" ref="N971">_xlfn.IFS(_xlfn.SINGLE(calls[Duration])&lt;30,"UNDER 30 MINS",_xlfn.SINGLE(calls[Duration])&lt;60,"30 T0 60 MINS",_xlfn.SINGLE(calls[Duration])&lt;120,"1 TO 2 HRS",TRUE,"ABOVE 2 HRS")</f>
        <v>ABOVE 2 HRS</v>
      </c>
    </row>
    <row r="972" spans="1:14" x14ac:dyDescent="0.3">
      <c r="A972" t="s">
        <v>1006</v>
      </c>
      <c r="B972" t="s">
        <v>22</v>
      </c>
      <c r="C972">
        <v>45</v>
      </c>
      <c r="D972" t="s">
        <v>13</v>
      </c>
      <c r="E972" s="1">
        <v>45276</v>
      </c>
      <c r="F972">
        <v>84</v>
      </c>
      <c r="G972">
        <v>2.8</v>
      </c>
      <c r="H972" t="str">
        <f>TEXT(calls[[#This Row],[Date of Call]],"DDDD")</f>
        <v>Saturday</v>
      </c>
      <c r="I972">
        <f>ROUND(calls[[#This Row],[Satisfaction Rating]],0)</f>
        <v>3</v>
      </c>
      <c r="N972" t="str" cm="1">
        <f t="array" ref="N972">_xlfn.IFS(_xlfn.SINGLE(calls[Duration])&lt;30,"UNDER 30 MINS",_xlfn.SINGLE(calls[Duration])&lt;60,"30 T0 60 MINS",_xlfn.SINGLE(calls[Duration])&lt;120,"1 TO 2 HRS",TRUE,"ABOVE 2 HRS")</f>
        <v>30 T0 60 MINS</v>
      </c>
    </row>
    <row r="973" spans="1:14" x14ac:dyDescent="0.3">
      <c r="A973" t="s">
        <v>1007</v>
      </c>
      <c r="B973" t="s">
        <v>19</v>
      </c>
      <c r="C973">
        <v>141</v>
      </c>
      <c r="D973" t="s">
        <v>13</v>
      </c>
      <c r="E973" s="1">
        <v>45276</v>
      </c>
      <c r="F973">
        <v>66</v>
      </c>
      <c r="G973">
        <v>3.2</v>
      </c>
      <c r="H973" t="str">
        <f>TEXT(calls[[#This Row],[Date of Call]],"DDDD")</f>
        <v>Saturday</v>
      </c>
      <c r="I973">
        <f>ROUND(calls[[#This Row],[Satisfaction Rating]],0)</f>
        <v>3</v>
      </c>
      <c r="N973" t="str" cm="1">
        <f t="array" ref="N973">_xlfn.IFS(_xlfn.SINGLE(calls[Duration])&lt;30,"UNDER 30 MINS",_xlfn.SINGLE(calls[Duration])&lt;60,"30 T0 60 MINS",_xlfn.SINGLE(calls[Duration])&lt;120,"1 TO 2 HRS",TRUE,"ABOVE 2 HRS")</f>
        <v>ABOVE 2 HRS</v>
      </c>
    </row>
    <row r="974" spans="1:14" x14ac:dyDescent="0.3">
      <c r="A974" t="s">
        <v>1008</v>
      </c>
      <c r="B974" t="s">
        <v>41</v>
      </c>
      <c r="C974">
        <v>147</v>
      </c>
      <c r="D974" t="s">
        <v>36</v>
      </c>
      <c r="E974" s="1">
        <v>45276</v>
      </c>
      <c r="F974">
        <v>76</v>
      </c>
      <c r="G974">
        <v>4.7</v>
      </c>
      <c r="H974" t="str">
        <f>TEXT(calls[[#This Row],[Date of Call]],"DDDD")</f>
        <v>Saturday</v>
      </c>
      <c r="I974">
        <f>ROUND(calls[[#This Row],[Satisfaction Rating]],0)</f>
        <v>5</v>
      </c>
      <c r="N974" t="str" cm="1">
        <f t="array" ref="N974">_xlfn.IFS(_xlfn.SINGLE(calls[Duration])&lt;30,"UNDER 30 MINS",_xlfn.SINGLE(calls[Duration])&lt;60,"30 T0 60 MINS",_xlfn.SINGLE(calls[Duration])&lt;120,"1 TO 2 HRS",TRUE,"ABOVE 2 HRS")</f>
        <v>ABOVE 2 HRS</v>
      </c>
    </row>
    <row r="975" spans="1:14" x14ac:dyDescent="0.3">
      <c r="A975" t="s">
        <v>1009</v>
      </c>
      <c r="B975" t="s">
        <v>50</v>
      </c>
      <c r="C975">
        <v>126</v>
      </c>
      <c r="D975" t="s">
        <v>36</v>
      </c>
      <c r="E975" s="1">
        <v>45276</v>
      </c>
      <c r="F975">
        <v>185</v>
      </c>
      <c r="G975">
        <v>4.8</v>
      </c>
      <c r="H975" t="str">
        <f>TEXT(calls[[#This Row],[Date of Call]],"DDDD")</f>
        <v>Saturday</v>
      </c>
      <c r="I975">
        <f>ROUND(calls[[#This Row],[Satisfaction Rating]],0)</f>
        <v>5</v>
      </c>
      <c r="N975" t="str" cm="1">
        <f t="array" ref="N975">_xlfn.IFS(_xlfn.SINGLE(calls[Duration])&lt;30,"UNDER 30 MINS",_xlfn.SINGLE(calls[Duration])&lt;60,"30 T0 60 MINS",_xlfn.SINGLE(calls[Duration])&lt;120,"1 TO 2 HRS",TRUE,"ABOVE 2 HRS")</f>
        <v>ABOVE 2 HRS</v>
      </c>
    </row>
    <row r="976" spans="1:14" x14ac:dyDescent="0.3">
      <c r="A976" t="s">
        <v>1010</v>
      </c>
      <c r="B976" t="s">
        <v>22</v>
      </c>
      <c r="C976">
        <v>126</v>
      </c>
      <c r="D976" t="s">
        <v>29</v>
      </c>
      <c r="E976" s="1">
        <v>45277</v>
      </c>
      <c r="F976">
        <v>80</v>
      </c>
      <c r="G976">
        <v>4.7</v>
      </c>
      <c r="H976" t="str">
        <f>TEXT(calls[[#This Row],[Date of Call]],"DDDD")</f>
        <v>Sunday</v>
      </c>
      <c r="I976">
        <f>ROUND(calls[[#This Row],[Satisfaction Rating]],0)</f>
        <v>5</v>
      </c>
      <c r="N976" t="str" cm="1">
        <f t="array" ref="N976">_xlfn.IFS(_xlfn.SINGLE(calls[Duration])&lt;30,"UNDER 30 MINS",_xlfn.SINGLE(calls[Duration])&lt;60,"30 T0 60 MINS",_xlfn.SINGLE(calls[Duration])&lt;120,"1 TO 2 HRS",TRUE,"ABOVE 2 HRS")</f>
        <v>ABOVE 2 HRS</v>
      </c>
    </row>
    <row r="977" spans="1:14" x14ac:dyDescent="0.3">
      <c r="A977" t="s">
        <v>1011</v>
      </c>
      <c r="B977" t="s">
        <v>45</v>
      </c>
      <c r="C977">
        <v>32</v>
      </c>
      <c r="D977" t="s">
        <v>36</v>
      </c>
      <c r="E977" s="1">
        <v>45277</v>
      </c>
      <c r="F977">
        <v>148</v>
      </c>
      <c r="G977">
        <v>4</v>
      </c>
      <c r="H977" t="str">
        <f>TEXT(calls[[#This Row],[Date of Call]],"DDDD")</f>
        <v>Sunday</v>
      </c>
      <c r="I977">
        <f>ROUND(calls[[#This Row],[Satisfaction Rating]],0)</f>
        <v>4</v>
      </c>
      <c r="N977" t="str" cm="1">
        <f t="array" ref="N977">_xlfn.IFS(_xlfn.SINGLE(calls[Duration])&lt;30,"UNDER 30 MINS",_xlfn.SINGLE(calls[Duration])&lt;60,"30 T0 60 MINS",_xlfn.SINGLE(calls[Duration])&lt;120,"1 TO 2 HRS",TRUE,"ABOVE 2 HRS")</f>
        <v>30 T0 60 MINS</v>
      </c>
    </row>
    <row r="978" spans="1:14" x14ac:dyDescent="0.3">
      <c r="A978" t="s">
        <v>1012</v>
      </c>
      <c r="B978" t="s">
        <v>22</v>
      </c>
      <c r="C978">
        <v>84</v>
      </c>
      <c r="D978" t="s">
        <v>42</v>
      </c>
      <c r="E978" s="1">
        <v>45279</v>
      </c>
      <c r="F978">
        <v>180</v>
      </c>
      <c r="G978">
        <v>4.9000000000000004</v>
      </c>
      <c r="H978" t="str">
        <f>TEXT(calls[[#This Row],[Date of Call]],"DDDD")</f>
        <v>Tuesday</v>
      </c>
      <c r="I978">
        <f>ROUND(calls[[#This Row],[Satisfaction Rating]],0)</f>
        <v>5</v>
      </c>
      <c r="N978" t="str" cm="1">
        <f t="array" ref="N978">_xlfn.IFS(_xlfn.SINGLE(calls[Duration])&lt;30,"UNDER 30 MINS",_xlfn.SINGLE(calls[Duration])&lt;60,"30 T0 60 MINS",_xlfn.SINGLE(calls[Duration])&lt;120,"1 TO 2 HRS",TRUE,"ABOVE 2 HRS")</f>
        <v>1 TO 2 HRS</v>
      </c>
    </row>
    <row r="979" spans="1:14" x14ac:dyDescent="0.3">
      <c r="A979" t="s">
        <v>1013</v>
      </c>
      <c r="B979" t="s">
        <v>39</v>
      </c>
      <c r="C979">
        <v>120</v>
      </c>
      <c r="D979" t="s">
        <v>29</v>
      </c>
      <c r="E979" s="1">
        <v>45280</v>
      </c>
      <c r="F979">
        <v>190</v>
      </c>
      <c r="G979">
        <v>3.7</v>
      </c>
      <c r="H979" t="str">
        <f>TEXT(calls[[#This Row],[Date of Call]],"DDDD")</f>
        <v>Wednesday</v>
      </c>
      <c r="I979">
        <f>ROUND(calls[[#This Row],[Satisfaction Rating]],0)</f>
        <v>4</v>
      </c>
      <c r="N979" t="str" cm="1">
        <f t="array" ref="N979">_xlfn.IFS(_xlfn.SINGLE(calls[Duration])&lt;30,"UNDER 30 MINS",_xlfn.SINGLE(calls[Duration])&lt;60,"30 T0 60 MINS",_xlfn.SINGLE(calls[Duration])&lt;120,"1 TO 2 HRS",TRUE,"ABOVE 2 HRS")</f>
        <v>ABOVE 2 HRS</v>
      </c>
    </row>
    <row r="980" spans="1:14" x14ac:dyDescent="0.3">
      <c r="A980" t="s">
        <v>1014</v>
      </c>
      <c r="B980" t="s">
        <v>28</v>
      </c>
      <c r="C980">
        <v>93</v>
      </c>
      <c r="D980" t="s">
        <v>36</v>
      </c>
      <c r="E980" s="1">
        <v>45280</v>
      </c>
      <c r="F980">
        <v>38</v>
      </c>
      <c r="G980">
        <v>4.5</v>
      </c>
      <c r="H980" t="str">
        <f>TEXT(calls[[#This Row],[Date of Call]],"DDDD")</f>
        <v>Wednesday</v>
      </c>
      <c r="I980">
        <f>ROUND(calls[[#This Row],[Satisfaction Rating]],0)</f>
        <v>5</v>
      </c>
      <c r="N980" t="str" cm="1">
        <f t="array" ref="N980">_xlfn.IFS(_xlfn.SINGLE(calls[Duration])&lt;30,"UNDER 30 MINS",_xlfn.SINGLE(calls[Duration])&lt;60,"30 T0 60 MINS",_xlfn.SINGLE(calls[Duration])&lt;120,"1 TO 2 HRS",TRUE,"ABOVE 2 HRS")</f>
        <v>1 TO 2 HRS</v>
      </c>
    </row>
    <row r="981" spans="1:14" x14ac:dyDescent="0.3">
      <c r="A981" t="s">
        <v>1015</v>
      </c>
      <c r="B981" t="s">
        <v>33</v>
      </c>
      <c r="C981">
        <v>76</v>
      </c>
      <c r="D981" t="s">
        <v>23</v>
      </c>
      <c r="E981" s="1">
        <v>45281</v>
      </c>
      <c r="F981">
        <v>82</v>
      </c>
      <c r="G981">
        <v>2.1</v>
      </c>
      <c r="H981" t="str">
        <f>TEXT(calls[[#This Row],[Date of Call]],"DDDD")</f>
        <v>Thursday</v>
      </c>
      <c r="I981">
        <f>ROUND(calls[[#This Row],[Satisfaction Rating]],0)</f>
        <v>2</v>
      </c>
      <c r="N981" t="str" cm="1">
        <f t="array" ref="N981">_xlfn.IFS(_xlfn.SINGLE(calls[Duration])&lt;30,"UNDER 30 MINS",_xlfn.SINGLE(calls[Duration])&lt;60,"30 T0 60 MINS",_xlfn.SINGLE(calls[Duration])&lt;120,"1 TO 2 HRS",TRUE,"ABOVE 2 HRS")</f>
        <v>1 TO 2 HRS</v>
      </c>
    </row>
    <row r="982" spans="1:14" x14ac:dyDescent="0.3">
      <c r="A982" t="s">
        <v>1016</v>
      </c>
      <c r="B982" t="s">
        <v>37</v>
      </c>
      <c r="C982">
        <v>89</v>
      </c>
      <c r="D982" t="s">
        <v>36</v>
      </c>
      <c r="E982" s="1">
        <v>45284</v>
      </c>
      <c r="F982">
        <v>88</v>
      </c>
      <c r="G982">
        <v>2.8</v>
      </c>
      <c r="H982" t="str">
        <f>TEXT(calls[[#This Row],[Date of Call]],"DDDD")</f>
        <v>Sunday</v>
      </c>
      <c r="I982">
        <f>ROUND(calls[[#This Row],[Satisfaction Rating]],0)</f>
        <v>3</v>
      </c>
      <c r="N982" t="str" cm="1">
        <f t="array" ref="N982">_xlfn.IFS(_xlfn.SINGLE(calls[Duration])&lt;30,"UNDER 30 MINS",_xlfn.SINGLE(calls[Duration])&lt;60,"30 T0 60 MINS",_xlfn.SINGLE(calls[Duration])&lt;120,"1 TO 2 HRS",TRUE,"ABOVE 2 HRS")</f>
        <v>1 TO 2 HRS</v>
      </c>
    </row>
    <row r="983" spans="1:14" x14ac:dyDescent="0.3">
      <c r="A983" t="s">
        <v>1017</v>
      </c>
      <c r="B983" t="s">
        <v>26</v>
      </c>
      <c r="C983">
        <v>91</v>
      </c>
      <c r="D983" t="s">
        <v>42</v>
      </c>
      <c r="E983" s="1">
        <v>45284</v>
      </c>
      <c r="F983">
        <v>42</v>
      </c>
      <c r="G983">
        <v>4.0999999999999996</v>
      </c>
      <c r="H983" t="str">
        <f>TEXT(calls[[#This Row],[Date of Call]],"DDDD")</f>
        <v>Sunday</v>
      </c>
      <c r="I983">
        <f>ROUND(calls[[#This Row],[Satisfaction Rating]],0)</f>
        <v>4</v>
      </c>
      <c r="N983" t="str" cm="1">
        <f t="array" ref="N983">_xlfn.IFS(_xlfn.SINGLE(calls[Duration])&lt;30,"UNDER 30 MINS",_xlfn.SINGLE(calls[Duration])&lt;60,"30 T0 60 MINS",_xlfn.SINGLE(calls[Duration])&lt;120,"1 TO 2 HRS",TRUE,"ABOVE 2 HRS")</f>
        <v>1 TO 2 HRS</v>
      </c>
    </row>
    <row r="984" spans="1:14" x14ac:dyDescent="0.3">
      <c r="A984" t="s">
        <v>1018</v>
      </c>
      <c r="B984" t="s">
        <v>31</v>
      </c>
      <c r="C984">
        <v>7</v>
      </c>
      <c r="D984" t="s">
        <v>13</v>
      </c>
      <c r="E984" s="1">
        <v>45285</v>
      </c>
      <c r="F984">
        <v>64</v>
      </c>
      <c r="G984">
        <v>3.3</v>
      </c>
      <c r="H984" t="str">
        <f>TEXT(calls[[#This Row],[Date of Call]],"DDDD")</f>
        <v>Monday</v>
      </c>
      <c r="I984">
        <f>ROUND(calls[[#This Row],[Satisfaction Rating]],0)</f>
        <v>3</v>
      </c>
      <c r="N984" t="str" cm="1">
        <f t="array" ref="N984">_xlfn.IFS(_xlfn.SINGLE(calls[Duration])&lt;30,"UNDER 30 MINS",_xlfn.SINGLE(calls[Duration])&lt;60,"30 T0 60 MINS",_xlfn.SINGLE(calls[Duration])&lt;120,"1 TO 2 HRS",TRUE,"ABOVE 2 HRS")</f>
        <v>UNDER 30 MINS</v>
      </c>
    </row>
    <row r="985" spans="1:14" x14ac:dyDescent="0.3">
      <c r="A985" t="s">
        <v>1019</v>
      </c>
      <c r="B985" t="s">
        <v>45</v>
      </c>
      <c r="C985">
        <v>140</v>
      </c>
      <c r="D985" t="s">
        <v>13</v>
      </c>
      <c r="E985" s="1">
        <v>45285</v>
      </c>
      <c r="F985">
        <v>105</v>
      </c>
      <c r="G985">
        <v>1.7</v>
      </c>
      <c r="H985" t="str">
        <f>TEXT(calls[[#This Row],[Date of Call]],"DDDD")</f>
        <v>Monday</v>
      </c>
      <c r="I985">
        <f>ROUND(calls[[#This Row],[Satisfaction Rating]],0)</f>
        <v>2</v>
      </c>
      <c r="N985" t="str" cm="1">
        <f t="array" ref="N985">_xlfn.IFS(_xlfn.SINGLE(calls[Duration])&lt;30,"UNDER 30 MINS",_xlfn.SINGLE(calls[Duration])&lt;60,"30 T0 60 MINS",_xlfn.SINGLE(calls[Duration])&lt;120,"1 TO 2 HRS",TRUE,"ABOVE 2 HRS")</f>
        <v>ABOVE 2 HRS</v>
      </c>
    </row>
    <row r="986" spans="1:14" x14ac:dyDescent="0.3">
      <c r="A986" t="s">
        <v>1020</v>
      </c>
      <c r="B986" t="s">
        <v>18</v>
      </c>
      <c r="C986">
        <v>58</v>
      </c>
      <c r="D986" t="s">
        <v>29</v>
      </c>
      <c r="E986" s="1">
        <v>45285</v>
      </c>
      <c r="F986">
        <v>25</v>
      </c>
      <c r="G986">
        <v>3.6</v>
      </c>
      <c r="H986" t="str">
        <f>TEXT(calls[[#This Row],[Date of Call]],"DDDD")</f>
        <v>Monday</v>
      </c>
      <c r="I986">
        <f>ROUND(calls[[#This Row],[Satisfaction Rating]],0)</f>
        <v>4</v>
      </c>
      <c r="N986" t="str" cm="1">
        <f t="array" ref="N986">_xlfn.IFS(_xlfn.SINGLE(calls[Duration])&lt;30,"UNDER 30 MINS",_xlfn.SINGLE(calls[Duration])&lt;60,"30 T0 60 MINS",_xlfn.SINGLE(calls[Duration])&lt;120,"1 TO 2 HRS",TRUE,"ABOVE 2 HRS")</f>
        <v>30 T0 60 MINS</v>
      </c>
    </row>
    <row r="987" spans="1:14" x14ac:dyDescent="0.3">
      <c r="A987" t="s">
        <v>1021</v>
      </c>
      <c r="B987" t="s">
        <v>12</v>
      </c>
      <c r="C987">
        <v>90</v>
      </c>
      <c r="D987" t="s">
        <v>23</v>
      </c>
      <c r="E987" s="1">
        <v>45286</v>
      </c>
      <c r="F987">
        <v>176</v>
      </c>
      <c r="G987">
        <v>3.6</v>
      </c>
      <c r="H987" t="str">
        <f>TEXT(calls[[#This Row],[Date of Call]],"DDDD")</f>
        <v>Tuesday</v>
      </c>
      <c r="I987">
        <f>ROUND(calls[[#This Row],[Satisfaction Rating]],0)</f>
        <v>4</v>
      </c>
      <c r="N987" t="str" cm="1">
        <f t="array" ref="N987">_xlfn.IFS(_xlfn.SINGLE(calls[Duration])&lt;30,"UNDER 30 MINS",_xlfn.SINGLE(calls[Duration])&lt;60,"30 T0 60 MINS",_xlfn.SINGLE(calls[Duration])&lt;120,"1 TO 2 HRS",TRUE,"ABOVE 2 HRS")</f>
        <v>1 TO 2 HRS</v>
      </c>
    </row>
    <row r="988" spans="1:14" x14ac:dyDescent="0.3">
      <c r="A988" t="s">
        <v>1022</v>
      </c>
      <c r="B988" t="s">
        <v>12</v>
      </c>
      <c r="C988">
        <v>106</v>
      </c>
      <c r="D988" t="s">
        <v>36</v>
      </c>
      <c r="E988" s="1">
        <v>45287</v>
      </c>
      <c r="F988">
        <v>46</v>
      </c>
      <c r="G988">
        <v>4.5999999999999996</v>
      </c>
      <c r="H988" t="str">
        <f>TEXT(calls[[#This Row],[Date of Call]],"DDDD")</f>
        <v>Wednesday</v>
      </c>
      <c r="I988">
        <f>ROUND(calls[[#This Row],[Satisfaction Rating]],0)</f>
        <v>5</v>
      </c>
      <c r="N988" t="str" cm="1">
        <f t="array" ref="N988">_xlfn.IFS(_xlfn.SINGLE(calls[Duration])&lt;30,"UNDER 30 MINS",_xlfn.SINGLE(calls[Duration])&lt;60,"30 T0 60 MINS",_xlfn.SINGLE(calls[Duration])&lt;120,"1 TO 2 HRS",TRUE,"ABOVE 2 HRS")</f>
        <v>1 TO 2 HRS</v>
      </c>
    </row>
    <row r="989" spans="1:14" x14ac:dyDescent="0.3">
      <c r="A989" t="s">
        <v>1023</v>
      </c>
      <c r="B989" t="s">
        <v>39</v>
      </c>
      <c r="C989">
        <v>72</v>
      </c>
      <c r="D989" t="s">
        <v>13</v>
      </c>
      <c r="E989" s="1">
        <v>45287</v>
      </c>
      <c r="F989">
        <v>164</v>
      </c>
      <c r="G989">
        <v>4.8</v>
      </c>
      <c r="H989" t="str">
        <f>TEXT(calls[[#This Row],[Date of Call]],"DDDD")</f>
        <v>Wednesday</v>
      </c>
      <c r="I989">
        <f>ROUND(calls[[#This Row],[Satisfaction Rating]],0)</f>
        <v>5</v>
      </c>
      <c r="N989" t="str" cm="1">
        <f t="array" ref="N989">_xlfn.IFS(_xlfn.SINGLE(calls[Duration])&lt;30,"UNDER 30 MINS",_xlfn.SINGLE(calls[Duration])&lt;60,"30 T0 60 MINS",_xlfn.SINGLE(calls[Duration])&lt;120,"1 TO 2 HRS",TRUE,"ABOVE 2 HRS")</f>
        <v>1 TO 2 HRS</v>
      </c>
    </row>
    <row r="990" spans="1:14" x14ac:dyDescent="0.3">
      <c r="A990" t="s">
        <v>1024</v>
      </c>
      <c r="B990" t="s">
        <v>31</v>
      </c>
      <c r="C990">
        <v>124</v>
      </c>
      <c r="D990" t="s">
        <v>13</v>
      </c>
      <c r="E990" s="1">
        <v>45288</v>
      </c>
      <c r="F990">
        <v>64</v>
      </c>
      <c r="G990">
        <v>4.5</v>
      </c>
      <c r="H990" t="str">
        <f>TEXT(calls[[#This Row],[Date of Call]],"DDDD")</f>
        <v>Thursday</v>
      </c>
      <c r="I990">
        <f>ROUND(calls[[#This Row],[Satisfaction Rating]],0)</f>
        <v>5</v>
      </c>
      <c r="N990" t="str" cm="1">
        <f t="array" ref="N990">_xlfn.IFS(_xlfn.SINGLE(calls[Duration])&lt;30,"UNDER 30 MINS",_xlfn.SINGLE(calls[Duration])&lt;60,"30 T0 60 MINS",_xlfn.SINGLE(calls[Duration])&lt;120,"1 TO 2 HRS",TRUE,"ABOVE 2 HRS")</f>
        <v>ABOVE 2 HRS</v>
      </c>
    </row>
    <row r="991" spans="1:14" x14ac:dyDescent="0.3">
      <c r="A991" t="s">
        <v>1025</v>
      </c>
      <c r="B991" t="s">
        <v>19</v>
      </c>
      <c r="C991">
        <v>86</v>
      </c>
      <c r="D991" t="s">
        <v>42</v>
      </c>
      <c r="E991" s="1">
        <v>45288</v>
      </c>
      <c r="F991">
        <v>205</v>
      </c>
      <c r="G991">
        <v>4.5</v>
      </c>
      <c r="H991" t="str">
        <f>TEXT(calls[[#This Row],[Date of Call]],"DDDD")</f>
        <v>Thursday</v>
      </c>
      <c r="I991">
        <f>ROUND(calls[[#This Row],[Satisfaction Rating]],0)</f>
        <v>5</v>
      </c>
      <c r="N991" t="str" cm="1">
        <f t="array" ref="N991">_xlfn.IFS(_xlfn.SINGLE(calls[Duration])&lt;30,"UNDER 30 MINS",_xlfn.SINGLE(calls[Duration])&lt;60,"30 T0 60 MINS",_xlfn.SINGLE(calls[Duration])&lt;120,"1 TO 2 HRS",TRUE,"ABOVE 2 HRS")</f>
        <v>1 TO 2 HRS</v>
      </c>
    </row>
    <row r="992" spans="1:14" x14ac:dyDescent="0.3">
      <c r="A992" t="s">
        <v>1026</v>
      </c>
      <c r="B992" t="s">
        <v>22</v>
      </c>
      <c r="C992">
        <v>164</v>
      </c>
      <c r="D992" t="s">
        <v>42</v>
      </c>
      <c r="E992" s="1">
        <v>45289</v>
      </c>
      <c r="F992">
        <v>100</v>
      </c>
      <c r="G992">
        <v>4.5999999999999996</v>
      </c>
      <c r="H992" t="str">
        <f>TEXT(calls[[#This Row],[Date of Call]],"DDDD")</f>
        <v>Friday</v>
      </c>
      <c r="I992">
        <f>ROUND(calls[[#This Row],[Satisfaction Rating]],0)</f>
        <v>5</v>
      </c>
      <c r="N992" t="str" cm="1">
        <f t="array" ref="N992">_xlfn.IFS(_xlfn.SINGLE(calls[Duration])&lt;30,"UNDER 30 MINS",_xlfn.SINGLE(calls[Duration])&lt;60,"30 T0 60 MINS",_xlfn.SINGLE(calls[Duration])&lt;120,"1 TO 2 HRS",TRUE,"ABOVE 2 HRS")</f>
        <v>ABOVE 2 HRS</v>
      </c>
    </row>
    <row r="993" spans="1:14" x14ac:dyDescent="0.3">
      <c r="A993" t="s">
        <v>1027</v>
      </c>
      <c r="B993" t="s">
        <v>28</v>
      </c>
      <c r="C993">
        <v>40</v>
      </c>
      <c r="D993" t="s">
        <v>23</v>
      </c>
      <c r="E993" s="1">
        <v>45289</v>
      </c>
      <c r="F993">
        <v>111</v>
      </c>
      <c r="G993">
        <v>4.5999999999999996</v>
      </c>
      <c r="H993" t="str">
        <f>TEXT(calls[[#This Row],[Date of Call]],"DDDD")</f>
        <v>Friday</v>
      </c>
      <c r="I993">
        <f>ROUND(calls[[#This Row],[Satisfaction Rating]],0)</f>
        <v>5</v>
      </c>
      <c r="N993" t="str" cm="1">
        <f t="array" ref="N993">_xlfn.IFS(_xlfn.SINGLE(calls[Duration])&lt;30,"UNDER 30 MINS",_xlfn.SINGLE(calls[Duration])&lt;60,"30 T0 60 MINS",_xlfn.SINGLE(calls[Duration])&lt;120,"1 TO 2 HRS",TRUE,"ABOVE 2 HRS")</f>
        <v>30 T0 60 MINS</v>
      </c>
    </row>
    <row r="994" spans="1:14" x14ac:dyDescent="0.3">
      <c r="A994" t="s">
        <v>1028</v>
      </c>
      <c r="B994" t="s">
        <v>26</v>
      </c>
      <c r="C994">
        <v>76</v>
      </c>
      <c r="D994" t="s">
        <v>29</v>
      </c>
      <c r="E994" s="1">
        <v>45289</v>
      </c>
      <c r="F994">
        <v>80</v>
      </c>
      <c r="G994">
        <v>3.5</v>
      </c>
      <c r="H994" t="str">
        <f>TEXT(calls[[#This Row],[Date of Call]],"DDDD")</f>
        <v>Friday</v>
      </c>
      <c r="I994">
        <f>ROUND(calls[[#This Row],[Satisfaction Rating]],0)</f>
        <v>4</v>
      </c>
      <c r="N994" t="str" cm="1">
        <f t="array" ref="N994">_xlfn.IFS(_xlfn.SINGLE(calls[Duration])&lt;30,"UNDER 30 MINS",_xlfn.SINGLE(calls[Duration])&lt;60,"30 T0 60 MINS",_xlfn.SINGLE(calls[Duration])&lt;120,"1 TO 2 HRS",TRUE,"ABOVE 2 HRS")</f>
        <v>1 TO 2 HRS</v>
      </c>
    </row>
    <row r="995" spans="1:14" x14ac:dyDescent="0.3">
      <c r="A995" t="s">
        <v>1029</v>
      </c>
      <c r="B995" t="s">
        <v>31</v>
      </c>
      <c r="C995">
        <v>95</v>
      </c>
      <c r="D995" t="s">
        <v>36</v>
      </c>
      <c r="E995" s="1">
        <v>45289</v>
      </c>
      <c r="F995">
        <v>50</v>
      </c>
      <c r="G995">
        <v>2.9</v>
      </c>
      <c r="H995" t="str">
        <f>TEXT(calls[[#This Row],[Date of Call]],"DDDD")</f>
        <v>Friday</v>
      </c>
      <c r="I995">
        <f>ROUND(calls[[#This Row],[Satisfaction Rating]],0)</f>
        <v>3</v>
      </c>
      <c r="N995" t="str" cm="1">
        <f t="array" ref="N995">_xlfn.IFS(_xlfn.SINGLE(calls[Duration])&lt;30,"UNDER 30 MINS",_xlfn.SINGLE(calls[Duration])&lt;60,"30 T0 60 MINS",_xlfn.SINGLE(calls[Duration])&lt;120,"1 TO 2 HRS",TRUE,"ABOVE 2 HRS")</f>
        <v>1 TO 2 HRS</v>
      </c>
    </row>
    <row r="996" spans="1:14" x14ac:dyDescent="0.3">
      <c r="A996" t="s">
        <v>1030</v>
      </c>
      <c r="B996" t="s">
        <v>26</v>
      </c>
      <c r="C996">
        <v>113</v>
      </c>
      <c r="D996" t="s">
        <v>13</v>
      </c>
      <c r="E996" s="1">
        <v>45290</v>
      </c>
      <c r="F996">
        <v>165</v>
      </c>
      <c r="G996">
        <v>4.7</v>
      </c>
      <c r="H996" t="str">
        <f>TEXT(calls[[#This Row],[Date of Call]],"DDDD")</f>
        <v>Saturday</v>
      </c>
      <c r="I996">
        <f>ROUND(calls[[#This Row],[Satisfaction Rating]],0)</f>
        <v>5</v>
      </c>
      <c r="N996" t="str" cm="1">
        <f t="array" ref="N996">_xlfn.IFS(_xlfn.SINGLE(calls[Duration])&lt;30,"UNDER 30 MINS",_xlfn.SINGLE(calls[Duration])&lt;60,"30 T0 60 MINS",_xlfn.SINGLE(calls[Duration])&lt;120,"1 TO 2 HRS",TRUE,"ABOVE 2 HRS")</f>
        <v>1 TO 2 HRS</v>
      </c>
    </row>
    <row r="997" spans="1:14" x14ac:dyDescent="0.3">
      <c r="A997" t="s">
        <v>1031</v>
      </c>
      <c r="B997" t="s">
        <v>19</v>
      </c>
      <c r="C997">
        <v>81</v>
      </c>
      <c r="D997" t="s">
        <v>13</v>
      </c>
      <c r="E997" s="1">
        <v>45290</v>
      </c>
      <c r="F997">
        <v>28</v>
      </c>
      <c r="G997">
        <v>3.9</v>
      </c>
      <c r="H997" t="str">
        <f>TEXT(calls[[#This Row],[Date of Call]],"DDDD")</f>
        <v>Saturday</v>
      </c>
      <c r="I997">
        <f>ROUND(calls[[#This Row],[Satisfaction Rating]],0)</f>
        <v>4</v>
      </c>
      <c r="N997" t="str" cm="1">
        <f t="array" ref="N997">_xlfn.IFS(_xlfn.SINGLE(calls[Duration])&lt;30,"UNDER 30 MINS",_xlfn.SINGLE(calls[Duration])&lt;60,"30 T0 60 MINS",_xlfn.SINGLE(calls[Duration])&lt;120,"1 TO 2 HRS",TRUE,"ABOVE 2 HRS")</f>
        <v>1 TO 2 HRS</v>
      </c>
    </row>
    <row r="998" spans="1:14" x14ac:dyDescent="0.3">
      <c r="A998" t="s">
        <v>1032</v>
      </c>
      <c r="B998" t="s">
        <v>33</v>
      </c>
      <c r="C998">
        <v>127</v>
      </c>
      <c r="D998" t="s">
        <v>36</v>
      </c>
      <c r="E998" s="1">
        <v>45290</v>
      </c>
      <c r="F998">
        <v>215</v>
      </c>
      <c r="G998">
        <v>3.8</v>
      </c>
      <c r="H998" t="str">
        <f>TEXT(calls[[#This Row],[Date of Call]],"DDDD")</f>
        <v>Saturday</v>
      </c>
      <c r="I998">
        <f>ROUND(calls[[#This Row],[Satisfaction Rating]],0)</f>
        <v>4</v>
      </c>
      <c r="N998" t="str" cm="1">
        <f t="array" ref="N998">_xlfn.IFS(_xlfn.SINGLE(calls[Duration])&lt;30,"UNDER 30 MINS",_xlfn.SINGLE(calls[Duration])&lt;60,"30 T0 60 MINS",_xlfn.SINGLE(calls[Duration])&lt;120,"1 TO 2 HRS",TRUE,"ABOVE 2 HRS")</f>
        <v>ABOVE 2 HRS</v>
      </c>
    </row>
    <row r="999" spans="1:14" x14ac:dyDescent="0.3">
      <c r="A999" t="s">
        <v>1033</v>
      </c>
      <c r="B999" t="s">
        <v>45</v>
      </c>
      <c r="C999">
        <v>146</v>
      </c>
      <c r="D999" t="s">
        <v>13</v>
      </c>
      <c r="E999" s="1">
        <v>45291</v>
      </c>
      <c r="F999">
        <v>115</v>
      </c>
      <c r="G999">
        <v>2.2999999999999998</v>
      </c>
      <c r="H999" t="str">
        <f>TEXT(calls[[#This Row],[Date of Call]],"DDDD")</f>
        <v>Sunday</v>
      </c>
      <c r="I999">
        <f>ROUND(calls[[#This Row],[Satisfaction Rating]],0)</f>
        <v>2</v>
      </c>
      <c r="N999" t="str" cm="1">
        <f t="array" ref="N999">_xlfn.IFS(_xlfn.SINGLE(calls[Duration])&lt;30,"UNDER 30 MINS",_xlfn.SINGLE(calls[Duration])&lt;60,"30 T0 60 MINS",_xlfn.SINGLE(calls[Duration])&lt;120,"1 TO 2 HRS",TRUE,"ABOVE 2 HRS")</f>
        <v>ABOVE 2 HRS</v>
      </c>
    </row>
    <row r="1000" spans="1:14" x14ac:dyDescent="0.3">
      <c r="A1000" t="s">
        <v>1034</v>
      </c>
      <c r="B1000" t="s">
        <v>41</v>
      </c>
      <c r="C1000">
        <v>123</v>
      </c>
      <c r="D1000" t="s">
        <v>13</v>
      </c>
      <c r="E1000" s="1">
        <v>45291</v>
      </c>
      <c r="F1000">
        <v>64</v>
      </c>
      <c r="G1000">
        <v>3.7</v>
      </c>
      <c r="H1000" t="str">
        <f>TEXT(calls[[#This Row],[Date of Call]],"DDDD")</f>
        <v>Sunday</v>
      </c>
      <c r="I1000">
        <f>ROUND(calls[[#This Row],[Satisfaction Rating]],0)</f>
        <v>4</v>
      </c>
      <c r="N1000" t="str" cm="1">
        <f t="array" ref="N1000">_xlfn.IFS(_xlfn.SINGLE(calls[Duration])&lt;30,"UNDER 30 MINS",_xlfn.SINGLE(calls[Duration])&lt;60,"30 T0 60 MINS",_xlfn.SINGLE(calls[Duration])&lt;120,"1 TO 2 HRS",TRUE,"ABOVE 2 HRS")</f>
        <v>ABOVE 2 HRS</v>
      </c>
    </row>
    <row r="1001" spans="1:14" x14ac:dyDescent="0.3">
      <c r="A1001" t="s">
        <v>1035</v>
      </c>
      <c r="B1001" t="s">
        <v>39</v>
      </c>
      <c r="C1001">
        <v>114</v>
      </c>
      <c r="D1001" t="s">
        <v>29</v>
      </c>
      <c r="E1001" s="1">
        <v>45291</v>
      </c>
      <c r="F1001">
        <v>40</v>
      </c>
      <c r="G1001">
        <v>3.9</v>
      </c>
      <c r="H1001" t="str">
        <f>TEXT(calls[[#This Row],[Date of Call]],"DDDD")</f>
        <v>Sunday</v>
      </c>
      <c r="I1001">
        <f>ROUND(calls[[#This Row],[Satisfaction Rating]],0)</f>
        <v>4</v>
      </c>
      <c r="N1001" t="str" cm="1">
        <f t="array" ref="N1001">_xlfn.IFS(_xlfn.SINGLE(calls[Duration])&lt;30,"UNDER 30 MINS",_xlfn.SINGLE(calls[Duration])&lt;60,"30 T0 60 MINS",_xlfn.SINGLE(calls[Duration])&lt;120,"1 TO 2 HRS",TRUE,"ABOVE 2 HRS")</f>
        <v>1 TO 2 HRS</v>
      </c>
    </row>
  </sheetData>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4EC9A07-DBDA-4974-A23E-85DE735D1B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FINAL DASHBOARD</vt:lpstr>
      <vt:lpstr>pivot tabel</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s.dhamodaravel dhamu</dc:creator>
  <cp:lastModifiedBy>s.dhamodaravel dhamu</cp:lastModifiedBy>
  <dcterms:created xsi:type="dcterms:W3CDTF">2026-04-28T00:37:35Z</dcterms:created>
  <dcterms:modified xsi:type="dcterms:W3CDTF">2026-04-29T00:48:14Z</dcterms:modified>
</cp:coreProperties>
</file>